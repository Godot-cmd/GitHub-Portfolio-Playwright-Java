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1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ontradingcom.sharepoint.com/teams/DBXAnagrafeProject/Shared Documents/Test/Automatic Tests Process ATP/Drops 2024/June 2024/K450 ATP/"/>
    </mc:Choice>
  </mc:AlternateContent>
  <xr:revisionPtr revIDLastSave="0" documentId="8_{A77A43E1-96D9-4A9D-8353-94EC4A8EB1EF}" xr6:coauthVersionLast="47" xr6:coauthVersionMax="47" xr10:uidLastSave="{00000000-0000-0000-0000-000000000000}"/>
  <bookViews>
    <workbookView xWindow="28680" yWindow="-120" windowWidth="29040" windowHeight="15840" firstSheet="3" activeTab="3" xr2:uid="{00000000-000D-0000-FFFF-FFFF00000000}"/>
  </bookViews>
  <sheets>
    <sheet name="Cover e Legenda" sheetId="31" r:id="rId1"/>
    <sheet name="Criteri Accettazione" sheetId="29" r:id="rId2"/>
    <sheet name="Cruscotto" sheetId="14" r:id="rId3"/>
    <sheet name="Test Funzionali" sheetId="28" r:id="rId4"/>
    <sheet name="Matrice Prospect PF" sheetId="34" r:id="rId5"/>
    <sheet name="Test Batch" sheetId="32" r:id="rId6"/>
  </sheets>
  <definedNames>
    <definedName name="_xlnm._FilterDatabase" localSheetId="5" hidden="1">'Test Batch'!$A$3:$Y$16</definedName>
    <definedName name="_xlnm._FilterDatabase" localSheetId="3" hidden="1">'Test Funzionali'!$A$3:$Y$60</definedName>
    <definedName name="_xlnm.Print_Area" localSheetId="0">'Cover e Legenda'!$A$1:$E$39</definedName>
    <definedName name="_xlnm.Print_Area" localSheetId="2">Cruscotto!$A$1:$O$18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4" l="1"/>
  <c r="H5" i="14"/>
  <c r="G5" i="14"/>
  <c r="G4" i="14" s="1"/>
  <c r="F5" i="14"/>
  <c r="F4" i="14" s="1"/>
  <c r="E5" i="14"/>
  <c r="E4" i="14" s="1"/>
  <c r="D5" i="14"/>
  <c r="C5" i="14"/>
  <c r="B5" i="14"/>
  <c r="Y1" i="32"/>
  <c r="X1" i="32"/>
  <c r="Y1" i="28"/>
  <c r="X1" i="28"/>
  <c r="L2" i="14"/>
  <c r="K2" i="14"/>
  <c r="J5" i="14" l="1"/>
  <c r="K5" i="14"/>
  <c r="K4" i="14" l="1"/>
  <c r="L4" i="14" s="1"/>
  <c r="J2" i="14" s="1"/>
</calcChain>
</file>

<file path=xl/sharedStrings.xml><?xml version="1.0" encoding="utf-8"?>
<sst xmlns="http://schemas.openxmlformats.org/spreadsheetml/2006/main" count="1145" uniqueCount="217">
  <si>
    <r>
      <t>PROCEDURA &lt;</t>
    </r>
    <r>
      <rPr>
        <i/>
        <sz val="11"/>
        <color theme="1"/>
        <rFont val="Source Sans Pro"/>
        <family val="2"/>
      </rPr>
      <t>DBX Anagrafe</t>
    </r>
    <r>
      <rPr>
        <sz val="11"/>
        <color theme="1"/>
        <rFont val="Source Sans Pro"/>
        <family val="2"/>
      </rPr>
      <t>&gt;</t>
    </r>
  </si>
  <si>
    <t>Pwd protezione: tere</t>
  </si>
  <si>
    <t xml:space="preserve">PROGETTAZIONE dei: </t>
  </si>
  <si>
    <t>System test</t>
  </si>
  <si>
    <t>User Acceptance Test</t>
  </si>
  <si>
    <t>Final UAT</t>
  </si>
  <si>
    <t>Regression Test</t>
  </si>
  <si>
    <t>Altri Test</t>
  </si>
  <si>
    <t>ver 013 del 27/12/2022</t>
  </si>
  <si>
    <t>Ambiente esecuzione test :  _____________________</t>
  </si>
  <si>
    <t>COL</t>
  </si>
  <si>
    <t>Data Documento :</t>
  </si>
  <si>
    <t>SVL</t>
  </si>
  <si>
    <t>Modalità di compilazione</t>
  </si>
  <si>
    <t>ADS</t>
  </si>
  <si>
    <t>N.ID</t>
  </si>
  <si>
    <t>progressivo del test case / test step</t>
  </si>
  <si>
    <r>
      <t>il codice N.ID deve fare riferimento alla funzione ed al progressivo del test; il formato previsto è: “</t>
    </r>
    <r>
      <rPr>
        <b/>
        <sz val="11"/>
        <color theme="1"/>
        <rFont val="Source Sans Pro"/>
        <family val="2"/>
      </rPr>
      <t>F.PP</t>
    </r>
    <r>
      <rPr>
        <sz val="11"/>
        <color theme="1"/>
        <rFont val="Source Sans Pro"/>
        <family val="2"/>
      </rPr>
      <t>” (dove “F” è l’identificativo della funzione da testare e “PP” il progressivo all’interno della singola funzione)</t>
    </r>
  </si>
  <si>
    <t>Obbligatorio</t>
  </si>
  <si>
    <t>Progetto Avviamenti</t>
  </si>
  <si>
    <t>Identifica se lo sviluppo e' relativo ad un progetto di avviamento</t>
  </si>
  <si>
    <r>
      <t xml:space="preserve">Valori ammessi </t>
    </r>
    <r>
      <rPr>
        <b/>
        <sz val="11"/>
        <color theme="1"/>
        <rFont val="Source Sans Pro"/>
        <family val="2"/>
      </rPr>
      <t>Si / No</t>
    </r>
  </si>
  <si>
    <t>SERVIZIO</t>
  </si>
  <si>
    <t xml:space="preserve">Codice System che Cedacri associa alle proprie applicazioni </t>
  </si>
  <si>
    <t>Codifica Cedacri dell'applicazione definita in CMDB (per es. AN per Anagrafe)</t>
  </si>
  <si>
    <t>Obbligatorio se Progetto Avviamenti = Si</t>
  </si>
  <si>
    <t>TIPOLOGIA</t>
  </si>
  <si>
    <t>Indica la tipologia di sviluppo eseguito</t>
  </si>
  <si>
    <r>
      <t xml:space="preserve">Valori ammessi:
</t>
    </r>
    <r>
      <rPr>
        <sz val="11"/>
        <color theme="1"/>
        <rFont val="Arial"/>
        <family val="2"/>
      </rPr>
      <t>•</t>
    </r>
    <r>
      <rPr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Interfacce
</t>
    </r>
    <r>
      <rPr>
        <b/>
        <sz val="11"/>
        <color theme="1"/>
        <rFont val="Arial"/>
        <family val="2"/>
      </rPr>
      <t>•</t>
    </r>
    <r>
      <rPr>
        <b/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Gap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 xml:space="preserve">Migrazione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>Altro</t>
    </r>
  </si>
  <si>
    <t>STREAM</t>
  </si>
  <si>
    <t xml:space="preserve">Indica lo stream di riferimento </t>
  </si>
  <si>
    <r>
      <t>Ad esempio "</t>
    </r>
    <r>
      <rPr>
        <b/>
        <sz val="11"/>
        <color theme="1"/>
        <rFont val="Source Sans Pro"/>
        <family val="2"/>
      </rPr>
      <t>Sales &amp; Channel"</t>
    </r>
  </si>
  <si>
    <t>TASK</t>
  </si>
  <si>
    <t>Indica il codice della GAP o dell'Interfaccia</t>
  </si>
  <si>
    <t xml:space="preserve">Ad esempio K8G08, se non è GAP o Interfaccia inserire "Altro" </t>
  </si>
  <si>
    <t>PRIORITY</t>
  </si>
  <si>
    <t>Indica la priorità di esecuzione dei Test</t>
  </si>
  <si>
    <r>
      <t xml:space="preserve">Di seguito i valori ammessi ed il corrispondente significato: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Critical : Funzionalità prioritaria e di diffuso utilizzo per la procedura interessata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High : Funzionalità utilizzata  frequentemente dall'utente
</t>
    </r>
    <r>
      <rPr>
        <sz val="11"/>
        <color theme="1"/>
        <rFont val="Arial"/>
        <family val="2"/>
      </rPr>
      <t xml:space="preserve">• </t>
    </r>
    <r>
      <rPr>
        <sz val="11"/>
        <color theme="1"/>
        <rFont val="Source Sans Pro"/>
        <family val="2"/>
      </rPr>
      <t xml:space="preserve">Medium : Funzionalità non utilizzata frequentemente dall’utente 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Low :Funzionalità non prioritaria ed utilizzata saltuariamente dall'utente </t>
    </r>
  </si>
  <si>
    <t>Area Funzionale</t>
  </si>
  <si>
    <t>Macro area relativa alla funzionalità oggetto del test</t>
  </si>
  <si>
    <t xml:space="preserve">es. Versamenti/Pagamenti, Negoziazione Titoli, …, </t>
  </si>
  <si>
    <t>Funzione</t>
  </si>
  <si>
    <t>funzione che si sta testando</t>
  </si>
  <si>
    <t>es. VERS (transazione/funzione di versamento)</t>
  </si>
  <si>
    <t>Obiettivo</t>
  </si>
  <si>
    <t>obiettivo della funzione che si sta testando</t>
  </si>
  <si>
    <t>es. si versano assegni e contante sul CC</t>
  </si>
  <si>
    <t>Fonte di confronto</t>
  </si>
  <si>
    <t>riportare "con che cosa" vengono confrontati i dati ottenuti in risposta nel corso del test</t>
  </si>
  <si>
    <t>es. PWS /CRM OPER/CC/Saldi CC o  tabulato XXXXX ….</t>
  </si>
  <si>
    <t>facoltativo</t>
  </si>
  <si>
    <t>Dati di input</t>
  </si>
  <si>
    <t>indicare i dati utilizzati per effettuare i test ed eventuali note sulle modalità di esecuzione</t>
  </si>
  <si>
    <t>es. IST = 270, FIL = 001,  ndg = 123456, CC=01-012-334455, dossier= 12-001-33445566, etc…</t>
  </si>
  <si>
    <t>Prerequisiti</t>
  </si>
  <si>
    <t>prerequisiti che devono essere soddisfatti per l'esecuzione del test case / step test</t>
  </si>
  <si>
    <t>es. il requisito può essere un test case/step test precedente, oppure che deve essere lanciata una fase batch, oppure valorizzare un parametro, etc…</t>
  </si>
  <si>
    <t>Azione</t>
  </si>
  <si>
    <t>rappresenta l'azione che si deve eseguire per effettuare il test</t>
  </si>
  <si>
    <t>es. inserire i dati  e premere push button AVANTI e/o premere tasto CONFERMA, …; lancio jcl,…</t>
  </si>
  <si>
    <t>Risultati Attesi</t>
  </si>
  <si>
    <t>sono i risultati previsti per ottenere un esito positivo del test</t>
  </si>
  <si>
    <t>es. viene visualizzata la pagina dei movimenti di CC; viene prodotto il flusso “a”; fine prodotto il tabulato, al termine dell'operzione il saldo è aggiornato,…</t>
  </si>
  <si>
    <t>Esito</t>
  </si>
  <si>
    <t>esito del step test</t>
  </si>
  <si>
    <t>i valori possibili sono : OK; KO basso (problema banale); KO medio (malfunzionamenti della funzione); KO alto (anomalie che bloccano l’operatività); TDB (test to be delivered); KO ambiente (abend relativi a new dei programmi, archivi non disponibili,...)</t>
  </si>
  <si>
    <t>Obbligatorio (controllato)</t>
  </si>
  <si>
    <t># ITG  / # Remedy</t>
  </si>
  <si>
    <t xml:space="preserve">codice identificativo dell'ITG o Remedy che ha generato la change. </t>
  </si>
  <si>
    <t>Necessario per  associare il test alla richiesta di change (può essere anche il codice Remedy).</t>
  </si>
  <si>
    <t>Data esecuzione test</t>
  </si>
  <si>
    <t>data di effettuazione dello step test</t>
  </si>
  <si>
    <t>Esecutore del Test</t>
  </si>
  <si>
    <t>Chi ha eseguito lo step test</t>
  </si>
  <si>
    <t>Nome Cognome o User</t>
  </si>
  <si>
    <t>Programmi/Moduli oggetto dei test</t>
  </si>
  <si>
    <t>Indicare il/i programma/i o modulo/i oggetto dei test step</t>
  </si>
  <si>
    <t>Necessario per associare il test al pgm/modulo oggetto della change</t>
  </si>
  <si>
    <t>Tipo test : B=test Batch; O= test OnLine</t>
  </si>
  <si>
    <t>Indicare con "B" se il test è di tipo batch e "O" se è una funziona on-line</t>
  </si>
  <si>
    <t>per distinguere in modo chiaro i test sulle transazioni e/o funzioni on-line. I test sul distribuito sono sempre da indicarsi con "on-line"</t>
  </si>
  <si>
    <t>Note</t>
  </si>
  <si>
    <t>contiene altre informazioni relative al test, in particolare se l'esito è KO</t>
  </si>
  <si>
    <t>Data disponibilità per test</t>
  </si>
  <si>
    <t>data in cui saranno disponibili i dati, l'ambiente, …, per il test</t>
  </si>
  <si>
    <t>#BUG</t>
  </si>
  <si>
    <t>progressivo associato all'anomalia individuata</t>
  </si>
  <si>
    <t>progressivo segnalazione se si utilizza un prodotto di bug tracking specifico (esempio Bugzilla o REDMINE) oppure data/ora della mail di segnalazione dell'anomalia,...</t>
  </si>
  <si>
    <t>Supporto Tecnico Richiesto</t>
  </si>
  <si>
    <t>SI/NO (x UAT)</t>
  </si>
  <si>
    <t>serve per i colleghi degli istituti quando eseguono l'UAT per comunicare la necessità di un'assistenza CEDACRI durante il test case specifico</t>
  </si>
  <si>
    <t>NOTE Se ritenuto utile aggiungere ulteriori folder per allegare videate sui risultati dei test; si suggerisce di rinominare i folder con "ALL + il numero ID del test"</t>
  </si>
  <si>
    <t>CRITERI DI ACCETTAZIONE DELLA SESSIONE DI TEST</t>
  </si>
  <si>
    <t>OK</t>
  </si>
  <si>
    <t>KO basso</t>
  </si>
  <si>
    <t>anomalia di severità bassa (normal)</t>
  </si>
  <si>
    <t>NUMEROSITÀ</t>
  </si>
  <si>
    <t>&gt;20</t>
  </si>
  <si>
    <t>GO-subC</t>
  </si>
  <si>
    <t>NOT-GO</t>
  </si>
  <si>
    <t>K</t>
  </si>
  <si>
    <t>L</t>
  </si>
  <si>
    <t>KO medio</t>
  </si>
  <si>
    <t>anomalia di severità media (major)</t>
  </si>
  <si>
    <t>11-20</t>
  </si>
  <si>
    <t>GO</t>
  </si>
  <si>
    <t>J</t>
  </si>
  <si>
    <t>KO alto</t>
  </si>
  <si>
    <t>anomalia di severità alta (critical)</t>
  </si>
  <si>
    <t>KO ambiente</t>
  </si>
  <si>
    <t>problema di ambiente</t>
  </si>
  <si>
    <t>0-10</t>
  </si>
  <si>
    <t>TBD</t>
  </si>
  <si>
    <t xml:space="preserve">test non eseguibile al momento </t>
  </si>
  <si>
    <t>BASSA</t>
  </si>
  <si>
    <t>MEDIA</t>
  </si>
  <si>
    <t>ALTA</t>
  </si>
  <si>
    <t>SEVERITÀ</t>
  </si>
  <si>
    <t>AND</t>
  </si>
  <si>
    <t>Indice di copertura dei test eseguiti sui pianificati: se almeno 80% --&gt; OK, se almeno 65% da valutare altrimenti KO</t>
  </si>
  <si>
    <t>&lt;=</t>
  </si>
  <si>
    <t>Istruzioni</t>
  </si>
  <si>
    <t>Risultato complessivo del test:</t>
  </si>
  <si>
    <t>Test Batch Totali:</t>
  </si>
  <si>
    <t>Totale dei test step</t>
  </si>
  <si>
    <t>Test Online Totali:</t>
  </si>
  <si>
    <t>Foglio</t>
  </si>
  <si>
    <t>Totali</t>
  </si>
  <si>
    <t>da fare</t>
  </si>
  <si>
    <t>KO bassi</t>
  </si>
  <si>
    <t>KO medi</t>
  </si>
  <si>
    <t>KO alti</t>
  </si>
  <si>
    <t>test da eseguire</t>
  </si>
  <si>
    <t>test eseguiti</t>
  </si>
  <si>
    <t>Test Funzionali</t>
  </si>
  <si>
    <t>Test Batch</t>
  </si>
  <si>
    <t>TEST FUNZIONALI</t>
  </si>
  <si>
    <t>NOTE PER COMPILAZIONE: 
a)- per allegare videate sui test aggiungere ulteriori folder (nome del folder uguale al N.ID. del test a cui fanno riferimento); 
b)- i folder di descrizione dei test devono avere il prefisso "TEST xxxx" (gestito con MACRO); 
c)- per inserire il pgm/modulo oggetto del test utilizzare la colonna "Programmi/Moduli oggetto dei test" e non un folder per pgm/modulo.</t>
  </si>
  <si>
    <t>N. ID</t>
  </si>
  <si>
    <t>Servizio</t>
  </si>
  <si>
    <t>Tipologia</t>
  </si>
  <si>
    <t>Stream</t>
  </si>
  <si>
    <t>Task</t>
  </si>
  <si>
    <t>Priority</t>
  </si>
  <si>
    <t>Fonte di Confronto</t>
  </si>
  <si>
    <t>Dati di Input</t>
  </si>
  <si>
    <t>Esito (OK/KO)</t>
  </si>
  <si>
    <t># ITG /
# REMEDY</t>
  </si>
  <si>
    <t>Tipo test : B=Test Batch; O= test On-line</t>
  </si>
  <si>
    <t>Data disponibilità  test</t>
  </si>
  <si>
    <t>No</t>
  </si>
  <si>
    <t>AN</t>
  </si>
  <si>
    <t>Altro</t>
  </si>
  <si>
    <t>Core Banking</t>
  </si>
  <si>
    <t>DBXAN-134
IA-CE.35 IA-Censimento</t>
  </si>
  <si>
    <t>High</t>
  </si>
  <si>
    <t>Configurazione dati obbligatori</t>
  </si>
  <si>
    <t>Have in the UI the management of mandatory data for Private - Prospect</t>
  </si>
  <si>
    <t>Censimento Prospect PF Panel - Dati principali - Codice fiscale</t>
  </si>
  <si>
    <t>Nessuna</t>
  </si>
  <si>
    <t>- Workflow di censimento di Persona Fisica - Prospect
- Step 1</t>
  </si>
  <si>
    <t>La UI mostra il campo relativo al Codice Fiscale</t>
  </si>
  <si>
    <t>O</t>
  </si>
  <si>
    <t>Censimento Prospect PF Panel - Dati principali - Cognome</t>
  </si>
  <si>
    <t>La UI mostra il campo relativo al Cognome</t>
  </si>
  <si>
    <t>Censimento Prospect PF Panel - Dati principali - Nome</t>
  </si>
  <si>
    <t>La UI mostra il campo relativo al Nome</t>
  </si>
  <si>
    <t>Censimento Prospect PF Panel - Dati principali - Numero di telefono</t>
  </si>
  <si>
    <t>La UI mostra il campo relativo al Numero di telefono</t>
  </si>
  <si>
    <t>Censimento Prospect PF Panel - Dati principali - Email</t>
  </si>
  <si>
    <t>La UI mostra il campo relativo alla Email</t>
  </si>
  <si>
    <t>Stringa generica inferiore a 16-digit nel campo Codice Fiscale</t>
  </si>
  <si>
    <t>Inserire manualmente i dati di input e cambiare campo</t>
  </si>
  <si>
    <r>
      <t xml:space="preserve">La UI mostra un errore e la tooltip </t>
    </r>
    <r>
      <rPr>
        <i/>
        <sz val="8"/>
        <rFont val="Calibri"/>
        <family val="2"/>
        <scheme val="minor"/>
      </rPr>
      <t>Campo invalido</t>
    </r>
  </si>
  <si>
    <t>Stringa con carattere speciale nel campo Codice Fiscale</t>
  </si>
  <si>
    <t>Stringa con spazi nel campo Codice Fiscale</t>
  </si>
  <si>
    <t>Codice fiscale valido</t>
  </si>
  <si>
    <t>- Workflow di censimento di Persona Fisica - Prospect
- Step 1
- Codice fiscale giá presente in database</t>
  </si>
  <si>
    <r>
      <t xml:space="preserve">La UI mostra un errore e la tooltip </t>
    </r>
    <r>
      <rPr>
        <i/>
        <sz val="8"/>
        <rFont val="Calibri"/>
        <family val="2"/>
        <scheme val="minor"/>
      </rPr>
      <t>Codice fiscale giá censito</t>
    </r>
  </si>
  <si>
    <t>- Workflow di censimento di Persona Fisica - Prospect
- Step 1
- Codice fiscale non presente in database</t>
  </si>
  <si>
    <t>La UI non mostra errori o warning</t>
  </si>
  <si>
    <t>Inserire con funziona Incolla i dati di input e cambiare campo</t>
  </si>
  <si>
    <t>Stringa con carattere numerico nel campo Nome</t>
  </si>
  <si>
    <t>La UI non permette di inserire il carattere</t>
  </si>
  <si>
    <t>Stringa con carattere speciale nel campo Nome</t>
  </si>
  <si>
    <t>Stringa con spazio iniziale nel campo Nome</t>
  </si>
  <si>
    <t>Stringa con spazio finale nel campo Nome</t>
  </si>
  <si>
    <t>Stringa con doppio spazio consecutivo nel campo Nome</t>
  </si>
  <si>
    <t>Nome valido</t>
  </si>
  <si>
    <t>Stringa con carattere numerico nel campo Cognome</t>
  </si>
  <si>
    <t>Stringa con carattere speciale nel campo Cognome</t>
  </si>
  <si>
    <t>Stringa con spazio iniziale nel campo Cognome</t>
  </si>
  <si>
    <t>Stringa con spazio finale nel campo Cognome</t>
  </si>
  <si>
    <t>Stringa con doppio spazio consecutivo nel campo Cognome</t>
  </si>
  <si>
    <t>Cognome valido</t>
  </si>
  <si>
    <t>Stringa con carattere alfabetico nel campo Numero di telefono</t>
  </si>
  <si>
    <t>Stringa con carattere speciale nel campo Numero di telefono</t>
  </si>
  <si>
    <t>Stringa con spazi nel campo Numero di telefono</t>
  </si>
  <si>
    <t>Numero di telefono valido</t>
  </si>
  <si>
    <t>Stringa con spazi nel campo Email</t>
  </si>
  <si>
    <t>Email valida</t>
  </si>
  <si>
    <t>Stringa senza carattere del tipo @</t>
  </si>
  <si>
    <t>Stringa senza carattere del tipo .</t>
  </si>
  <si>
    <t>Stringa con carattere speciale nel campo Email</t>
  </si>
  <si>
    <t>Censimento Prospect PF Panel - Dati principali - Sesso</t>
  </si>
  <si>
    <t>- Workflow di censimento di Persona Fisica - Prospect
- Step 1
- Codice fiscale valido inserito</t>
  </si>
  <si>
    <t>La UI mostra il dato valorizzato</t>
  </si>
  <si>
    <t>Censimento Prospect PF Panel - Dati principali - Natura giuridica</t>
  </si>
  <si>
    <t>La UI calcola correttamente il valore del dato</t>
  </si>
  <si>
    <t>Attività</t>
  </si>
  <si>
    <t>Action</t>
  </si>
  <si>
    <t>Subaction</t>
  </si>
  <si>
    <t xml:space="preserve"> Dati Principali</t>
  </si>
  <si>
    <t>Raccolta di tutti i dati dell'entità Private - Prospect</t>
  </si>
  <si>
    <t>Raccogliere tutti i dati del tipo Private - Prospect</t>
  </si>
  <si>
    <t>TEST BATCH</t>
  </si>
  <si>
    <t># ITG / 
# REMEDY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</si>
</sst>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&quot;-&quot;"/>
  </numFmts>
  <fonts count="5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Arial"/>
      <family val="2"/>
    </font>
    <font>
      <sz val="48"/>
      <color theme="1"/>
      <name val="Wingdings"/>
      <charset val="2"/>
    </font>
    <font>
      <b/>
      <sz val="10"/>
      <name val="Arial"/>
      <family val="2"/>
    </font>
    <font>
      <b/>
      <sz val="12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 Black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0"/>
      <name val="Source Sans Pro"/>
      <family val="2"/>
    </font>
    <font>
      <sz val="11"/>
      <color rgb="FFFF9933"/>
      <name val="Source Sans Pro"/>
      <family val="2"/>
    </font>
    <font>
      <sz val="8"/>
      <name val="Source Sans Pro"/>
      <family val="2"/>
    </font>
    <font>
      <sz val="9"/>
      <name val="Source Sans Pro"/>
      <family val="2"/>
    </font>
    <font>
      <sz val="11"/>
      <color theme="1"/>
      <name val="Source Sans Pro"/>
      <family val="2"/>
    </font>
    <font>
      <b/>
      <sz val="8"/>
      <color rgb="FF00A5E6"/>
      <name val="Source Sans Pro"/>
      <family val="2"/>
    </font>
    <font>
      <b/>
      <sz val="12"/>
      <name val="Source Sans Pro"/>
      <family val="2"/>
    </font>
    <font>
      <i/>
      <sz val="11"/>
      <color theme="1"/>
      <name val="Source Sans Pro"/>
      <family val="2"/>
    </font>
    <font>
      <sz val="10"/>
      <name val="Source Sans Pro"/>
      <family val="2"/>
    </font>
    <font>
      <b/>
      <sz val="12"/>
      <color theme="1"/>
      <name val="Source Sans Pro"/>
      <family val="2"/>
    </font>
    <font>
      <b/>
      <sz val="7"/>
      <name val="Source Sans Pro"/>
      <family val="2"/>
    </font>
    <font>
      <b/>
      <sz val="11"/>
      <name val="Source Sans Pro"/>
      <family val="2"/>
    </font>
    <font>
      <u/>
      <sz val="10"/>
      <name val="Source Sans Pro"/>
      <family val="2"/>
    </font>
    <font>
      <b/>
      <sz val="14"/>
      <color rgb="FF001437"/>
      <name val="Source Sans Pro"/>
      <family val="2"/>
    </font>
    <font>
      <b/>
      <sz val="11"/>
      <color theme="1"/>
      <name val="Source Sans Pro"/>
      <family val="2"/>
    </font>
    <font>
      <b/>
      <sz val="11"/>
      <color rgb="FF000000"/>
      <name val="Source Sans Pro"/>
      <family val="2"/>
    </font>
    <font>
      <sz val="10"/>
      <color theme="1"/>
      <name val="Source Sans Pro"/>
      <family val="2"/>
    </font>
    <font>
      <i/>
      <sz val="12"/>
      <color rgb="FF000000"/>
      <name val="Source Sans Pro"/>
      <family val="2"/>
    </font>
    <font>
      <sz val="11"/>
      <name val="Source Sans Pro"/>
      <family val="2"/>
    </font>
    <font>
      <sz val="11"/>
      <color rgb="FF000000"/>
      <name val="Source Sans Pro"/>
      <family val="2"/>
    </font>
    <font>
      <sz val="10.8"/>
      <color theme="1"/>
      <name val="Source Sans Pro"/>
      <family val="2"/>
    </font>
    <font>
      <b/>
      <sz val="10.8"/>
      <color theme="1"/>
      <name val="Source Sans Pro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5.95"/>
      <color theme="1"/>
      <name val="Source Sans Pro"/>
      <family val="2"/>
    </font>
    <font>
      <b/>
      <sz val="10"/>
      <color rgb="FF00A5E6"/>
      <name val="Source Sans Pro"/>
      <family val="2"/>
    </font>
    <font>
      <sz val="11"/>
      <color theme="0"/>
      <name val="Source Sans Pro"/>
      <family val="2"/>
    </font>
    <font>
      <sz val="16"/>
      <name val="Source Sans Pro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i/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theme="4" tint="0.79995117038483843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00B0F0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theme="4" tint="0.79992065187536243"/>
      </patternFill>
    </fill>
    <fill>
      <patternFill patternType="solid">
        <fgColor theme="6" tint="0.79998168889431442"/>
        <bgColor theme="4" tint="0.79992065187536243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8" tint="0.39997558519241921"/>
        <bgColor theme="4" tint="0.79995117038483843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gray125">
        <bgColor rgb="FFFFFF00"/>
      </patternFill>
    </fill>
    <fill>
      <patternFill patternType="gray125">
        <bgColor rgb="FFFF0000"/>
      </patternFill>
    </fill>
    <fill>
      <patternFill patternType="gray125">
        <bgColor rgb="FFFFFFFF"/>
      </patternFill>
    </fill>
    <fill>
      <patternFill patternType="gray125">
        <bgColor rgb="FF92D050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CCC5"/>
        <bgColor indexed="64"/>
      </patternFill>
    </fill>
    <fill>
      <patternFill patternType="solid">
        <fgColor rgb="FFB7EAFF"/>
        <bgColor indexed="64"/>
      </patternFill>
    </fill>
    <fill>
      <patternFill patternType="solid">
        <fgColor rgb="FFDADEE6"/>
        <bgColor indexed="64"/>
      </patternFill>
    </fill>
    <fill>
      <patternFill patternType="solid">
        <fgColor rgb="FFDDF5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medium">
        <color rgb="FFAFAFB4"/>
      </bottom>
      <diagonal/>
    </border>
    <border>
      <left/>
      <right/>
      <top style="medium">
        <color rgb="FFAFAFB4"/>
      </top>
      <bottom style="thin">
        <color rgb="FFAFAFB4"/>
      </bottom>
      <diagonal/>
    </border>
    <border>
      <left/>
      <right/>
      <top style="thin">
        <color rgb="FFAFAFB4"/>
      </top>
      <bottom style="thin">
        <color rgb="FFAFAFB4"/>
      </bottom>
      <diagonal/>
    </border>
    <border>
      <left/>
      <right/>
      <top/>
      <bottom style="thin">
        <color rgb="FFAFAFB4"/>
      </bottom>
      <diagonal/>
    </border>
    <border>
      <left/>
      <right/>
      <top style="thin">
        <color rgb="FFAFAFB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rgb="FFAFAFB4"/>
      </right>
      <top/>
      <bottom style="thin">
        <color rgb="FFAFAFB4"/>
      </bottom>
      <diagonal/>
    </border>
    <border>
      <left/>
      <right style="thin">
        <color rgb="FFAFAFB4"/>
      </right>
      <top/>
      <bottom/>
      <diagonal/>
    </border>
    <border>
      <left style="thin">
        <color rgb="FFAFAFB4"/>
      </left>
      <right style="thin">
        <color rgb="FFAFAFB4"/>
      </right>
      <top style="thin">
        <color rgb="FFAFAFB4"/>
      </top>
      <bottom style="thin">
        <color rgb="FFAFAFB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AFAFB4"/>
      </left>
      <right style="thin">
        <color rgb="FFAFAFB4"/>
      </right>
      <top/>
      <bottom style="thin">
        <color rgb="FFAFAFB4"/>
      </bottom>
      <diagonal/>
    </border>
  </borders>
  <cellStyleXfs count="6">
    <xf numFmtId="0" fontId="0" fillId="0" borderId="0"/>
    <xf numFmtId="0" fontId="1" fillId="0" borderId="0"/>
    <xf numFmtId="9" fontId="6" fillId="0" borderId="0" applyFont="0" applyFill="0" applyBorder="0" applyAlignment="0" applyProtection="0"/>
    <xf numFmtId="0" fontId="1" fillId="0" borderId="0"/>
    <xf numFmtId="0" fontId="18" fillId="0" borderId="0"/>
    <xf numFmtId="9" fontId="18" fillId="0" borderId="0" applyBorder="0" applyProtection="0"/>
  </cellStyleXfs>
  <cellXfs count="260">
    <xf numFmtId="0" fontId="0" fillId="0" borderId="0" xfId="0"/>
    <xf numFmtId="0" fontId="0" fillId="0" borderId="0" xfId="0" applyProtection="1">
      <protection locked="0"/>
    </xf>
    <xf numFmtId="0" fontId="1" fillId="0" borderId="0" xfId="1" applyProtection="1">
      <protection locked="0"/>
    </xf>
    <xf numFmtId="164" fontId="1" fillId="0" borderId="0" xfId="1" applyNumberFormat="1" applyProtection="1">
      <protection locked="0"/>
    </xf>
    <xf numFmtId="0" fontId="12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Protection="1">
      <protection locked="0"/>
    </xf>
    <xf numFmtId="49" fontId="15" fillId="0" borderId="0" xfId="0" applyNumberFormat="1" applyFont="1" applyProtection="1">
      <protection locked="0"/>
    </xf>
    <xf numFmtId="0" fontId="16" fillId="0" borderId="0" xfId="0" applyFont="1"/>
    <xf numFmtId="0" fontId="16" fillId="0" borderId="0" xfId="0" applyFont="1" applyAlignment="1">
      <alignment vertical="center"/>
    </xf>
    <xf numFmtId="0" fontId="16" fillId="10" borderId="0" xfId="0" applyFont="1" applyFill="1"/>
    <xf numFmtId="0" fontId="17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Protection="1">
      <protection locked="0"/>
    </xf>
    <xf numFmtId="0" fontId="21" fillId="13" borderId="0" xfId="0" applyFont="1" applyFill="1" applyAlignment="1">
      <alignment vertical="center"/>
    </xf>
    <xf numFmtId="0" fontId="22" fillId="21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vertical="center" wrapText="1"/>
      <protection locked="0"/>
    </xf>
    <xf numFmtId="49" fontId="22" fillId="15" borderId="0" xfId="0" applyNumberFormat="1" applyFont="1" applyFill="1" applyAlignment="1" applyProtection="1">
      <alignment vertical="center"/>
      <protection locked="0"/>
    </xf>
    <xf numFmtId="0" fontId="22" fillId="15" borderId="0" xfId="0" applyFont="1" applyFill="1" applyAlignment="1" applyProtection="1">
      <alignment vertical="center"/>
      <protection locked="0"/>
    </xf>
    <xf numFmtId="49" fontId="25" fillId="10" borderId="14" xfId="0" applyNumberFormat="1" applyFont="1" applyFill="1" applyBorder="1" applyAlignment="1">
      <alignment horizontal="center" wrapText="1"/>
    </xf>
    <xf numFmtId="0" fontId="25" fillId="10" borderId="14" xfId="0" applyFont="1" applyFill="1" applyBorder="1" applyAlignment="1">
      <alignment horizontal="center" wrapText="1"/>
    </xf>
    <xf numFmtId="49" fontId="25" fillId="10" borderId="14" xfId="0" applyNumberFormat="1" applyFont="1" applyFill="1" applyBorder="1" applyAlignment="1">
      <alignment horizontal="center"/>
    </xf>
    <xf numFmtId="0" fontId="25" fillId="10" borderId="14" xfId="0" applyFont="1" applyFill="1" applyBorder="1" applyAlignment="1">
      <alignment horizontal="center"/>
    </xf>
    <xf numFmtId="0" fontId="22" fillId="10" borderId="0" xfId="0" applyFont="1" applyFill="1" applyAlignment="1" applyProtection="1">
      <alignment horizontal="center" vertical="center" wrapText="1"/>
      <protection locked="0"/>
    </xf>
    <xf numFmtId="49" fontId="22" fillId="10" borderId="0" xfId="0" applyNumberFormat="1" applyFont="1" applyFill="1" applyAlignment="1" applyProtection="1">
      <alignment horizontal="left" vertical="top" wrapText="1"/>
      <protection locked="0"/>
    </xf>
    <xf numFmtId="0" fontId="22" fillId="10" borderId="0" xfId="0" applyFont="1" applyFill="1" applyAlignment="1" applyProtection="1">
      <alignment horizontal="left" vertical="top" wrapText="1"/>
      <protection locked="0"/>
    </xf>
    <xf numFmtId="14" fontId="22" fillId="10" borderId="0" xfId="0" applyNumberFormat="1" applyFont="1" applyFill="1" applyAlignment="1" applyProtection="1">
      <alignment horizontal="center" vertical="center" wrapText="1"/>
      <protection locked="0"/>
    </xf>
    <xf numFmtId="0" fontId="24" fillId="10" borderId="0" xfId="0" applyFont="1" applyFill="1" applyProtection="1">
      <protection locked="0"/>
    </xf>
    <xf numFmtId="0" fontId="22" fillId="10" borderId="16" xfId="0" applyFont="1" applyFill="1" applyBorder="1" applyAlignment="1" applyProtection="1">
      <alignment horizontal="center" vertical="center" wrapText="1"/>
      <protection locked="0"/>
    </xf>
    <xf numFmtId="0" fontId="22" fillId="21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vertical="center" wrapText="1"/>
      <protection locked="0"/>
    </xf>
    <xf numFmtId="49" fontId="22" fillId="15" borderId="16" xfId="0" applyNumberFormat="1" applyFont="1" applyFill="1" applyBorder="1" applyAlignment="1" applyProtection="1">
      <alignment vertical="center"/>
      <protection locked="0"/>
    </xf>
    <xf numFmtId="0" fontId="22" fillId="15" borderId="16" xfId="0" applyFont="1" applyFill="1" applyBorder="1" applyAlignment="1" applyProtection="1">
      <alignment vertical="center"/>
      <protection locked="0"/>
    </xf>
    <xf numFmtId="49" fontId="22" fillId="10" borderId="16" xfId="0" applyNumberFormat="1" applyFont="1" applyFill="1" applyBorder="1" applyAlignment="1" applyProtection="1">
      <alignment horizontal="left" vertical="top" wrapText="1"/>
      <protection locked="0"/>
    </xf>
    <xf numFmtId="0" fontId="22" fillId="10" borderId="16" xfId="0" applyFont="1" applyFill="1" applyBorder="1" applyAlignment="1" applyProtection="1">
      <alignment horizontal="left" vertical="top" wrapText="1"/>
      <protection locked="0"/>
    </xf>
    <xf numFmtId="0" fontId="23" fillId="10" borderId="16" xfId="0" applyFont="1" applyFill="1" applyBorder="1" applyAlignment="1" applyProtection="1">
      <alignment horizontal="left" vertical="top" wrapText="1"/>
      <protection locked="0"/>
    </xf>
    <xf numFmtId="14" fontId="22" fillId="10" borderId="16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6" xfId="0" applyFont="1" applyFill="1" applyBorder="1" applyProtection="1">
      <protection locked="0"/>
    </xf>
    <xf numFmtId="0" fontId="22" fillId="10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vertical="center" wrapText="1"/>
      <protection locked="0"/>
    </xf>
    <xf numFmtId="49" fontId="22" fillId="15" borderId="17" xfId="0" applyNumberFormat="1" applyFont="1" applyFill="1" applyBorder="1" applyAlignment="1" applyProtection="1">
      <alignment vertical="center"/>
      <protection locked="0"/>
    </xf>
    <xf numFmtId="0" fontId="22" fillId="15" borderId="17" xfId="0" applyFont="1" applyFill="1" applyBorder="1" applyAlignment="1" applyProtection="1">
      <alignment vertical="center"/>
      <protection locked="0"/>
    </xf>
    <xf numFmtId="0" fontId="22" fillId="10" borderId="17" xfId="0" applyFont="1" applyFill="1" applyBorder="1" applyAlignment="1" applyProtection="1">
      <alignment horizontal="left" vertical="top" wrapText="1"/>
      <protection locked="0"/>
    </xf>
    <xf numFmtId="0" fontId="23" fillId="10" borderId="17" xfId="0" applyFont="1" applyFill="1" applyBorder="1" applyAlignment="1" applyProtection="1">
      <alignment horizontal="left" vertical="top" wrapText="1"/>
      <protection locked="0"/>
    </xf>
    <xf numFmtId="14" fontId="22" fillId="10" borderId="17" xfId="0" applyNumberFormat="1" applyFont="1" applyFill="1" applyBorder="1" applyAlignment="1" applyProtection="1">
      <alignment horizontal="center" vertical="center" wrapText="1"/>
      <protection locked="0"/>
    </xf>
    <xf numFmtId="0" fontId="22" fillId="10" borderId="18" xfId="0" applyFont="1" applyFill="1" applyBorder="1" applyAlignment="1" applyProtection="1">
      <alignment horizontal="center" vertical="center" wrapText="1"/>
      <protection locked="0"/>
    </xf>
    <xf numFmtId="0" fontId="22" fillId="21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vertical="center" wrapText="1"/>
      <protection locked="0"/>
    </xf>
    <xf numFmtId="49" fontId="22" fillId="15" borderId="18" xfId="0" applyNumberFormat="1" applyFont="1" applyFill="1" applyBorder="1" applyAlignment="1" applyProtection="1">
      <alignment vertical="center"/>
      <protection locked="0"/>
    </xf>
    <xf numFmtId="0" fontId="22" fillId="15" borderId="18" xfId="0" applyFont="1" applyFill="1" applyBorder="1" applyAlignment="1" applyProtection="1">
      <alignment vertical="center"/>
      <protection locked="0"/>
    </xf>
    <xf numFmtId="0" fontId="22" fillId="10" borderId="18" xfId="0" applyFont="1" applyFill="1" applyBorder="1" applyAlignment="1" applyProtection="1">
      <alignment horizontal="left" vertical="top" wrapText="1"/>
      <protection locked="0"/>
    </xf>
    <xf numFmtId="0" fontId="23" fillId="10" borderId="18" xfId="0" applyFont="1" applyFill="1" applyBorder="1" applyAlignment="1" applyProtection="1">
      <alignment horizontal="left" vertical="top" wrapText="1"/>
      <protection locked="0"/>
    </xf>
    <xf numFmtId="14" fontId="22" fillId="10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7" xfId="0" applyFont="1" applyFill="1" applyBorder="1" applyProtection="1">
      <protection locked="0"/>
    </xf>
    <xf numFmtId="49" fontId="22" fillId="10" borderId="18" xfId="0" applyNumberFormat="1" applyFont="1" applyFill="1" applyBorder="1" applyAlignment="1" applyProtection="1">
      <alignment horizontal="left" vertical="top" wrapText="1"/>
      <protection locked="0"/>
    </xf>
    <xf numFmtId="0" fontId="24" fillId="10" borderId="18" xfId="0" applyFont="1" applyFill="1" applyBorder="1" applyProtection="1">
      <protection locked="0"/>
    </xf>
    <xf numFmtId="0" fontId="12" fillId="10" borderId="0" xfId="0" applyFont="1" applyFill="1"/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vertical="center" wrapText="1"/>
    </xf>
    <xf numFmtId="0" fontId="12" fillId="10" borderId="0" xfId="0" applyFont="1" applyFill="1" applyProtection="1">
      <protection locked="0"/>
    </xf>
    <xf numFmtId="14" fontId="22" fillId="10" borderId="18" xfId="0" applyNumberFormat="1" applyFont="1" applyFill="1" applyBorder="1" applyAlignment="1" applyProtection="1">
      <alignment horizontal="left" vertical="top" wrapText="1"/>
      <protection locked="0"/>
    </xf>
    <xf numFmtId="49" fontId="22" fillId="10" borderId="17" xfId="0" applyNumberFormat="1" applyFont="1" applyFill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>
      <alignment horizontal="left" vertical="center" indent="20"/>
    </xf>
    <xf numFmtId="0" fontId="26" fillId="0" borderId="0" xfId="0" applyFont="1" applyAlignment="1">
      <alignment horizontal="left" vertical="center" wrapText="1" indent="3"/>
    </xf>
    <xf numFmtId="0" fontId="26" fillId="0" borderId="9" xfId="0" applyFont="1" applyBorder="1" applyAlignment="1">
      <alignment horizontal="left" vertical="center" indent="20"/>
    </xf>
    <xf numFmtId="0" fontId="28" fillId="0" borderId="0" xfId="0" applyFont="1" applyAlignment="1">
      <alignment vertical="top" wrapText="1"/>
    </xf>
    <xf numFmtId="0" fontId="29" fillId="0" borderId="0" xfId="0" applyFont="1" applyAlignment="1">
      <alignment horizontal="left" vertical="center" indent="3"/>
    </xf>
    <xf numFmtId="0" fontId="26" fillId="0" borderId="3" xfId="0" applyFont="1" applyBorder="1" applyAlignment="1">
      <alignment horizontal="left" vertical="center" indent="20"/>
    </xf>
    <xf numFmtId="0" fontId="29" fillId="0" borderId="4" xfId="0" applyFont="1" applyBorder="1" applyAlignment="1">
      <alignment horizontal="left" vertical="center" indent="3"/>
    </xf>
    <xf numFmtId="49" fontId="30" fillId="0" borderId="5" xfId="0" applyNumberFormat="1" applyFont="1" applyBorder="1" applyAlignment="1">
      <alignment vertical="center"/>
    </xf>
    <xf numFmtId="0" fontId="31" fillId="22" borderId="13" xfId="0" applyFont="1" applyFill="1" applyBorder="1" applyAlignment="1">
      <alignment vertical="center"/>
    </xf>
    <xf numFmtId="49" fontId="28" fillId="0" borderId="9" xfId="0" applyNumberFormat="1" applyFont="1" applyBorder="1" applyAlignment="1">
      <alignment vertical="center"/>
    </xf>
    <xf numFmtId="49" fontId="28" fillId="0" borderId="19" xfId="0" applyNumberFormat="1" applyFont="1" applyBorder="1" applyAlignment="1">
      <alignment vertical="center"/>
    </xf>
    <xf numFmtId="49" fontId="28" fillId="0" borderId="21" xfId="0" applyNumberFormat="1" applyFont="1" applyBorder="1" applyAlignment="1">
      <alignment vertical="center"/>
    </xf>
    <xf numFmtId="49" fontId="28" fillId="10" borderId="5" xfId="0" applyNumberFormat="1" applyFont="1" applyFill="1" applyBorder="1"/>
    <xf numFmtId="0" fontId="28" fillId="10" borderId="0" xfId="0" applyFont="1" applyFill="1" applyAlignment="1">
      <alignment horizontal="left"/>
    </xf>
    <xf numFmtId="0" fontId="32" fillId="10" borderId="0" xfId="0" applyFont="1" applyFill="1" applyAlignment="1">
      <alignment vertical="center"/>
    </xf>
    <xf numFmtId="49" fontId="28" fillId="10" borderId="0" xfId="0" applyNumberFormat="1" applyFont="1" applyFill="1"/>
    <xf numFmtId="0" fontId="24" fillId="10" borderId="15" xfId="0" applyFont="1" applyFill="1" applyBorder="1" applyAlignment="1">
      <alignment vertical="top" wrapText="1"/>
    </xf>
    <xf numFmtId="0" fontId="35" fillId="10" borderId="15" xfId="0" applyFont="1" applyFill="1" applyBorder="1" applyAlignment="1">
      <alignment vertical="top"/>
    </xf>
    <xf numFmtId="0" fontId="24" fillId="10" borderId="0" xfId="0" applyFont="1" applyFill="1"/>
    <xf numFmtId="0" fontId="24" fillId="10" borderId="0" xfId="0" applyFont="1" applyFill="1" applyAlignment="1">
      <alignment vertical="center"/>
    </xf>
    <xf numFmtId="0" fontId="24" fillId="0" borderId="0" xfId="0" applyFont="1"/>
    <xf numFmtId="49" fontId="31" fillId="10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 wrapText="1"/>
    </xf>
    <xf numFmtId="0" fontId="38" fillId="10" borderId="0" xfId="0" applyFont="1" applyFill="1" applyAlignment="1">
      <alignment vertical="center" wrapText="1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vertical="top" wrapText="1"/>
    </xf>
    <xf numFmtId="0" fontId="24" fillId="10" borderId="0" xfId="0" applyFont="1" applyFill="1" applyAlignment="1">
      <alignment horizontal="justify" vertical="top" wrapText="1"/>
    </xf>
    <xf numFmtId="0" fontId="24" fillId="10" borderId="16" xfId="0" applyFont="1" applyFill="1" applyBorder="1" applyAlignment="1">
      <alignment horizontal="justify" vertical="top" wrapText="1"/>
    </xf>
    <xf numFmtId="0" fontId="35" fillId="10" borderId="16" xfId="0" applyFont="1" applyFill="1" applyBorder="1" applyAlignment="1">
      <alignment vertical="top" wrapText="1"/>
    </xf>
    <xf numFmtId="0" fontId="24" fillId="10" borderId="16" xfId="0" applyFont="1" applyFill="1" applyBorder="1" applyAlignment="1">
      <alignment vertical="top" wrapText="1"/>
    </xf>
    <xf numFmtId="0" fontId="31" fillId="24" borderId="16" xfId="0" applyFont="1" applyFill="1" applyBorder="1" applyAlignment="1">
      <alignment horizontal="left" vertical="top" wrapText="1"/>
    </xf>
    <xf numFmtId="0" fontId="34" fillId="25" borderId="15" xfId="0" applyFont="1" applyFill="1" applyBorder="1" applyAlignment="1">
      <alignment horizontal="left" vertical="top"/>
    </xf>
    <xf numFmtId="0" fontId="31" fillId="23" borderId="16" xfId="0" applyFont="1" applyFill="1" applyBorder="1" applyAlignment="1">
      <alignment horizontal="left" vertical="top" wrapText="1"/>
    </xf>
    <xf numFmtId="0" fontId="31" fillId="25" borderId="16" xfId="0" applyFont="1" applyFill="1" applyBorder="1" applyAlignment="1">
      <alignment horizontal="left" vertical="top"/>
    </xf>
    <xf numFmtId="0" fontId="35" fillId="10" borderId="16" xfId="0" applyFont="1" applyFill="1" applyBorder="1" applyAlignment="1">
      <alignment vertical="top"/>
    </xf>
    <xf numFmtId="0" fontId="37" fillId="10" borderId="16" xfId="0" applyFont="1" applyFill="1" applyBorder="1" applyAlignment="1">
      <alignment vertical="top"/>
    </xf>
    <xf numFmtId="0" fontId="31" fillId="25" borderId="0" xfId="0" applyFont="1" applyFill="1" applyAlignment="1">
      <alignment horizontal="left" vertical="top" wrapText="1"/>
    </xf>
    <xf numFmtId="0" fontId="35" fillId="10" borderId="0" xfId="0" applyFont="1" applyFill="1" applyAlignment="1">
      <alignment vertical="top"/>
    </xf>
    <xf numFmtId="0" fontId="31" fillId="25" borderId="0" xfId="0" applyFont="1" applyFill="1" applyAlignment="1">
      <alignment horizontal="left" vertical="top"/>
    </xf>
    <xf numFmtId="49" fontId="31" fillId="25" borderId="16" xfId="0" applyNumberFormat="1" applyFont="1" applyFill="1" applyBorder="1" applyAlignment="1">
      <alignment horizontal="left" vertical="top"/>
    </xf>
    <xf numFmtId="0" fontId="31" fillId="2" borderId="16" xfId="0" applyFont="1" applyFill="1" applyBorder="1" applyAlignment="1">
      <alignment horizontal="left" vertical="top"/>
    </xf>
    <xf numFmtId="0" fontId="39" fillId="10" borderId="16" xfId="0" applyFont="1" applyFill="1" applyBorder="1" applyAlignment="1">
      <alignment horizontal="justify" vertical="top" wrapText="1"/>
    </xf>
    <xf numFmtId="0" fontId="31" fillId="2" borderId="0" xfId="0" applyFont="1" applyFill="1" applyAlignment="1">
      <alignment horizontal="left" vertical="top"/>
    </xf>
    <xf numFmtId="0" fontId="39" fillId="10" borderId="0" xfId="0" applyFont="1" applyFill="1" applyAlignment="1">
      <alignment horizontal="justify" vertical="top" wrapText="1"/>
    </xf>
    <xf numFmtId="0" fontId="31" fillId="2" borderId="16" xfId="0" applyFont="1" applyFill="1" applyBorder="1" applyAlignment="1">
      <alignment horizontal="left" vertical="top" wrapText="1"/>
    </xf>
    <xf numFmtId="49" fontId="31" fillId="14" borderId="16" xfId="0" applyNumberFormat="1" applyFont="1" applyFill="1" applyBorder="1" applyAlignment="1">
      <alignment horizontal="left" vertical="top"/>
    </xf>
    <xf numFmtId="0" fontId="31" fillId="14" borderId="16" xfId="0" applyFont="1" applyFill="1" applyBorder="1" applyAlignment="1">
      <alignment horizontal="left" vertical="top"/>
    </xf>
    <xf numFmtId="0" fontId="31" fillId="14" borderId="0" xfId="0" applyFont="1" applyFill="1" applyAlignment="1">
      <alignment horizontal="left" vertical="top"/>
    </xf>
    <xf numFmtId="0" fontId="37" fillId="10" borderId="0" xfId="0" applyFont="1" applyFill="1" applyAlignment="1">
      <alignment vertical="top"/>
    </xf>
    <xf numFmtId="0" fontId="0" fillId="10" borderId="0" xfId="0" applyFill="1"/>
    <xf numFmtId="0" fontId="45" fillId="10" borderId="14" xfId="0" applyFont="1" applyFill="1" applyBorder="1" applyAlignment="1">
      <alignment horizontal="left" vertical="center" wrapText="1"/>
    </xf>
    <xf numFmtId="0" fontId="46" fillId="0" borderId="14" xfId="0" applyFont="1" applyBorder="1"/>
    <xf numFmtId="0" fontId="24" fillId="26" borderId="0" xfId="0" applyFont="1" applyFill="1"/>
    <xf numFmtId="0" fontId="24" fillId="26" borderId="16" xfId="0" applyFont="1" applyFill="1" applyBorder="1"/>
    <xf numFmtId="0" fontId="27" fillId="10" borderId="16" xfId="0" applyFont="1" applyFill="1" applyBorder="1"/>
    <xf numFmtId="0" fontId="27" fillId="10" borderId="0" xfId="0" applyFont="1" applyFill="1"/>
    <xf numFmtId="0" fontId="24" fillId="10" borderId="17" xfId="0" applyFont="1" applyFill="1" applyBorder="1"/>
    <xf numFmtId="0" fontId="24" fillId="10" borderId="0" xfId="0" applyFont="1" applyFill="1" applyAlignment="1">
      <alignment horizontal="center"/>
    </xf>
    <xf numFmtId="0" fontId="0" fillId="0" borderId="18" xfId="0" applyBorder="1"/>
    <xf numFmtId="0" fontId="0" fillId="10" borderId="23" xfId="0" applyFill="1" applyBorder="1"/>
    <xf numFmtId="0" fontId="0" fillId="10" borderId="22" xfId="0" applyFill="1" applyBorder="1"/>
    <xf numFmtId="0" fontId="36" fillId="1" borderId="18" xfId="0" applyFont="1" applyFill="1" applyBorder="1" applyAlignment="1">
      <alignment horizontal="center" vertical="center" wrapText="1"/>
    </xf>
    <xf numFmtId="0" fontId="36" fillId="16" borderId="18" xfId="0" applyFont="1" applyFill="1" applyBorder="1" applyAlignment="1">
      <alignment horizontal="left" vertical="center" wrapText="1" readingOrder="1"/>
    </xf>
    <xf numFmtId="0" fontId="36" fillId="17" borderId="18" xfId="0" applyFont="1" applyFill="1" applyBorder="1" applyAlignment="1">
      <alignment horizontal="left" vertical="center" wrapText="1" readingOrder="1"/>
    </xf>
    <xf numFmtId="17" fontId="36" fillId="18" borderId="18" xfId="0" quotePrefix="1" applyNumberFormat="1" applyFont="1" applyFill="1" applyBorder="1" applyAlignment="1">
      <alignment horizontal="center" vertical="center" wrapText="1"/>
    </xf>
    <xf numFmtId="0" fontId="36" fillId="19" borderId="18" xfId="0" applyFont="1" applyFill="1" applyBorder="1" applyAlignment="1">
      <alignment horizontal="center" vertical="center" wrapText="1" readingOrder="1"/>
    </xf>
    <xf numFmtId="17" fontId="36" fillId="18" borderId="16" xfId="0" quotePrefix="1" applyNumberFormat="1" applyFont="1" applyFill="1" applyBorder="1" applyAlignment="1">
      <alignment horizontal="center" vertical="center" wrapText="1"/>
    </xf>
    <xf numFmtId="0" fontId="36" fillId="19" borderId="16" xfId="0" applyFont="1" applyFill="1" applyBorder="1" applyAlignment="1">
      <alignment horizontal="center" vertical="center" wrapText="1" readingOrder="1"/>
    </xf>
    <xf numFmtId="0" fontId="36" fillId="16" borderId="16" xfId="0" applyFont="1" applyFill="1" applyBorder="1" applyAlignment="1">
      <alignment horizontal="left" vertical="center" wrapText="1" readingOrder="1"/>
    </xf>
    <xf numFmtId="0" fontId="36" fillId="17" borderId="16" xfId="0" applyFont="1" applyFill="1" applyBorder="1" applyAlignment="1">
      <alignment horizontal="left" vertical="center" wrapText="1" readingOrder="1"/>
    </xf>
    <xf numFmtId="0" fontId="36" fillId="18" borderId="18" xfId="0" applyFont="1" applyFill="1" applyBorder="1" applyAlignment="1">
      <alignment horizontal="center" vertical="center" wrapText="1"/>
    </xf>
    <xf numFmtId="0" fontId="36" fillId="18" borderId="16" xfId="0" applyFont="1" applyFill="1" applyBorder="1" applyAlignment="1">
      <alignment horizontal="center" vertical="top" wrapText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18" borderId="16" xfId="0" applyFont="1" applyFill="1" applyBorder="1" applyAlignment="1">
      <alignment vertical="top" wrapText="1"/>
    </xf>
    <xf numFmtId="0" fontId="36" fillId="20" borderId="17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vertical="top" wrapText="1"/>
    </xf>
    <xf numFmtId="0" fontId="36" fillId="20" borderId="16" xfId="0" applyFont="1" applyFill="1" applyBorder="1" applyAlignment="1">
      <alignment horizontal="center" vertical="top" wrapText="1"/>
    </xf>
    <xf numFmtId="0" fontId="36" fillId="10" borderId="18" xfId="0" applyFont="1" applyFill="1" applyBorder="1" applyAlignment="1">
      <alignment horizontal="center" vertical="center" wrapText="1"/>
    </xf>
    <xf numFmtId="0" fontId="36" fillId="10" borderId="16" xfId="0" applyFont="1" applyFill="1" applyBorder="1" applyAlignment="1">
      <alignment horizontal="center" vertical="center" wrapText="1"/>
    </xf>
    <xf numFmtId="0" fontId="36" fillId="10" borderId="0" xfId="0" applyFont="1" applyFill="1" applyAlignment="1">
      <alignment horizontal="center" vertical="center" wrapText="1"/>
    </xf>
    <xf numFmtId="0" fontId="36" fillId="10" borderId="17" xfId="0" applyFont="1" applyFill="1" applyBorder="1" applyAlignment="1">
      <alignment horizontal="center" vertical="top" wrapText="1"/>
    </xf>
    <xf numFmtId="0" fontId="24" fillId="10" borderId="18" xfId="0" applyFont="1" applyFill="1" applyBorder="1" applyAlignment="1">
      <alignment horizontal="center"/>
    </xf>
    <xf numFmtId="9" fontId="24" fillId="10" borderId="18" xfId="0" applyNumberFormat="1" applyFont="1" applyFill="1" applyBorder="1" applyAlignment="1">
      <alignment horizontal="right" vertical="center"/>
    </xf>
    <xf numFmtId="0" fontId="24" fillId="10" borderId="17" xfId="0" applyFont="1" applyFill="1" applyBorder="1" applyAlignment="1">
      <alignment horizontal="center"/>
    </xf>
    <xf numFmtId="9" fontId="24" fillId="10" borderId="17" xfId="0" applyNumberFormat="1" applyFont="1" applyFill="1" applyBorder="1" applyAlignment="1">
      <alignment horizontal="right" vertical="center"/>
    </xf>
    <xf numFmtId="0" fontId="24" fillId="10" borderId="16" xfId="0" applyFont="1" applyFill="1" applyBorder="1" applyAlignment="1">
      <alignment horizontal="center"/>
    </xf>
    <xf numFmtId="9" fontId="24" fillId="10" borderId="16" xfId="0" applyNumberFormat="1" applyFont="1" applyFill="1" applyBorder="1" applyAlignment="1">
      <alignment horizontal="right" vertical="center"/>
    </xf>
    <xf numFmtId="0" fontId="1" fillId="7" borderId="0" xfId="1" applyFill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9" fontId="10" fillId="0" borderId="0" xfId="2" applyFont="1" applyBorder="1" applyProtection="1">
      <protection locked="0"/>
    </xf>
    <xf numFmtId="0" fontId="2" fillId="10" borderId="0" xfId="1" applyFont="1" applyFill="1" applyAlignment="1" applyProtection="1">
      <alignment horizontal="right"/>
      <protection locked="0"/>
    </xf>
    <xf numFmtId="0" fontId="2" fillId="10" borderId="0" xfId="1" applyFont="1" applyFill="1" applyProtection="1">
      <protection locked="0"/>
    </xf>
    <xf numFmtId="0" fontId="11" fillId="10" borderId="0" xfId="1" applyFont="1" applyFill="1" applyProtection="1">
      <protection locked="0"/>
    </xf>
    <xf numFmtId="0" fontId="10" fillId="10" borderId="0" xfId="1" applyFont="1" applyFill="1" applyProtection="1">
      <protection locked="0"/>
    </xf>
    <xf numFmtId="0" fontId="1" fillId="10" borderId="0" xfId="1" applyFill="1" applyProtection="1"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0" fillId="10" borderId="0" xfId="0" applyFill="1" applyProtection="1">
      <protection locked="0"/>
    </xf>
    <xf numFmtId="0" fontId="1" fillId="10" borderId="23" xfId="1" applyFill="1" applyBorder="1" applyProtection="1">
      <protection locked="0"/>
    </xf>
    <xf numFmtId="0" fontId="0" fillId="10" borderId="17" xfId="0" applyFill="1" applyBorder="1"/>
    <xf numFmtId="0" fontId="0" fillId="10" borderId="17" xfId="0" applyFill="1" applyBorder="1" applyProtection="1">
      <protection locked="0"/>
    </xf>
    <xf numFmtId="0" fontId="1" fillId="10" borderId="22" xfId="1" applyFill="1" applyBorder="1" applyProtection="1">
      <protection locked="0"/>
    </xf>
    <xf numFmtId="0" fontId="4" fillId="3" borderId="14" xfId="1" applyFont="1" applyFill="1" applyBorder="1" applyAlignment="1" applyProtection="1">
      <alignment horizontal="center" vertical="center" wrapText="1"/>
      <protection locked="0"/>
    </xf>
    <xf numFmtId="0" fontId="5" fillId="3" borderId="14" xfId="1" applyFont="1" applyFill="1" applyBorder="1" applyAlignment="1" applyProtection="1">
      <alignment horizontal="center" vertical="center" wrapText="1"/>
      <protection locked="0"/>
    </xf>
    <xf numFmtId="0" fontId="3" fillId="6" borderId="14" xfId="1" applyFont="1" applyFill="1" applyBorder="1" applyAlignment="1" applyProtection="1">
      <alignment horizontal="center" vertical="center" wrapText="1"/>
      <protection locked="0"/>
    </xf>
    <xf numFmtId="0" fontId="3" fillId="4" borderId="14" xfId="1" applyFont="1" applyFill="1" applyBorder="1" applyAlignment="1" applyProtection="1">
      <alignment horizontal="center" vertical="center" wrapText="1"/>
      <protection locked="0"/>
    </xf>
    <xf numFmtId="0" fontId="3" fillId="9" borderId="14" xfId="1" applyFont="1" applyFill="1" applyBorder="1" applyAlignment="1" applyProtection="1">
      <alignment horizontal="center" vertical="center" wrapText="1"/>
      <protection locked="0"/>
    </xf>
    <xf numFmtId="0" fontId="3" fillId="8" borderId="14" xfId="1" applyFont="1" applyFill="1" applyBorder="1" applyAlignment="1" applyProtection="1">
      <alignment horizontal="center" vertical="center" wrapText="1"/>
      <protection locked="0"/>
    </xf>
    <xf numFmtId="0" fontId="3" fillId="5" borderId="14" xfId="1" applyFont="1" applyFill="1" applyBorder="1" applyAlignment="1" applyProtection="1">
      <alignment horizontal="center" vertical="center" wrapText="1"/>
      <protection locked="0"/>
    </xf>
    <xf numFmtId="0" fontId="3" fillId="11" borderId="14" xfId="1" applyFont="1" applyFill="1" applyBorder="1" applyAlignment="1" applyProtection="1">
      <alignment horizontal="center" vertical="center" wrapText="1"/>
      <protection locked="0"/>
    </xf>
    <xf numFmtId="0" fontId="3" fillId="12" borderId="14" xfId="1" applyFont="1" applyFill="1" applyBorder="1" applyAlignment="1" applyProtection="1">
      <alignment horizontal="center" vertical="center" wrapText="1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0" fillId="10" borderId="16" xfId="0" applyFill="1" applyBorder="1" applyProtection="1">
      <protection locked="0"/>
    </xf>
    <xf numFmtId="0" fontId="10" fillId="10" borderId="17" xfId="1" applyFont="1" applyFill="1" applyBorder="1" applyAlignment="1" applyProtection="1">
      <alignment horizontal="right"/>
      <protection locked="0"/>
    </xf>
    <xf numFmtId="0" fontId="10" fillId="10" borderId="16" xfId="1" applyFont="1" applyFill="1" applyBorder="1" applyAlignment="1" applyProtection="1">
      <alignment horizontal="right"/>
      <protection locked="0"/>
    </xf>
    <xf numFmtId="0" fontId="47" fillId="2" borderId="0" xfId="1" applyFont="1" applyFill="1" applyAlignment="1" applyProtection="1">
      <alignment horizontal="center" vertical="center"/>
      <protection locked="0"/>
    </xf>
    <xf numFmtId="0" fontId="7" fillId="0" borderId="18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7" xfId="0" applyFont="1" applyBorder="1" applyAlignment="1">
      <alignment horizontal="center"/>
    </xf>
    <xf numFmtId="0" fontId="29" fillId="0" borderId="9" xfId="0" applyFont="1" applyBorder="1" applyAlignment="1">
      <alignment horizontal="left" vertical="center" indent="3"/>
    </xf>
    <xf numFmtId="0" fontId="29" fillId="0" borderId="25" xfId="0" applyFont="1" applyBorder="1" applyAlignment="1">
      <alignment horizontal="left" vertical="center" indent="3"/>
    </xf>
    <xf numFmtId="0" fontId="6" fillId="10" borderId="0" xfId="0" applyFont="1" applyFill="1" applyProtection="1">
      <protection locked="0"/>
    </xf>
    <xf numFmtId="49" fontId="6" fillId="10" borderId="0" xfId="0" applyNumberFormat="1" applyFont="1" applyFill="1" applyProtection="1">
      <protection locked="0"/>
    </xf>
    <xf numFmtId="0" fontId="22" fillId="10" borderId="24" xfId="0" applyFont="1" applyFill="1" applyBorder="1" applyAlignment="1" applyProtection="1">
      <alignment horizontal="center" vertical="center" wrapText="1"/>
      <protection locked="0"/>
    </xf>
    <xf numFmtId="0" fontId="22" fillId="21" borderId="24" xfId="0" applyFont="1" applyFill="1" applyBorder="1" applyAlignment="1" applyProtection="1">
      <alignment horizontal="center" vertical="center" wrapText="1"/>
      <protection locked="0"/>
    </xf>
    <xf numFmtId="0" fontId="22" fillId="15" borderId="24" xfId="0" applyFont="1" applyFill="1" applyBorder="1" applyAlignment="1" applyProtection="1">
      <alignment horizontal="center" vertical="center" wrapText="1"/>
      <protection locked="0"/>
    </xf>
    <xf numFmtId="0" fontId="48" fillId="0" borderId="24" xfId="0" applyFont="1" applyBorder="1" applyAlignment="1" applyProtection="1">
      <alignment horizontal="center" vertical="center" wrapText="1"/>
      <protection locked="0"/>
    </xf>
    <xf numFmtId="14" fontId="31" fillId="0" borderId="21" xfId="0" applyNumberFormat="1" applyFont="1" applyBorder="1" applyAlignment="1">
      <alignment vertical="center"/>
    </xf>
    <xf numFmtId="0" fontId="14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 wrapText="1"/>
      <protection locked="0"/>
    </xf>
    <xf numFmtId="0" fontId="22" fillId="10" borderId="26" xfId="0" applyFont="1" applyFill="1" applyBorder="1" applyAlignment="1" applyProtection="1">
      <alignment horizontal="center" vertical="center" wrapText="1"/>
      <protection locked="0"/>
    </xf>
    <xf numFmtId="0" fontId="48" fillId="0" borderId="26" xfId="0" applyFont="1" applyBorder="1" applyAlignment="1" applyProtection="1">
      <alignment horizontal="center" vertical="center" wrapText="1"/>
      <protection locked="0"/>
    </xf>
    <xf numFmtId="16" fontId="48" fillId="0" borderId="26" xfId="0" applyNumberFormat="1" applyFont="1" applyBorder="1" applyAlignment="1" applyProtection="1">
      <alignment horizontal="center" vertical="center" wrapText="1"/>
      <protection locked="0"/>
    </xf>
    <xf numFmtId="49" fontId="25" fillId="10" borderId="24" xfId="0" applyNumberFormat="1" applyFont="1" applyFill="1" applyBorder="1" applyAlignment="1">
      <alignment horizontal="center" wrapText="1"/>
    </xf>
    <xf numFmtId="0" fontId="25" fillId="10" borderId="24" xfId="0" applyFont="1" applyFill="1" applyBorder="1" applyAlignment="1">
      <alignment horizontal="center" wrapText="1"/>
    </xf>
    <xf numFmtId="0" fontId="49" fillId="27" borderId="0" xfId="0" applyFont="1" applyFill="1"/>
    <xf numFmtId="0" fontId="50" fillId="0" borderId="0" xfId="0" applyFont="1"/>
    <xf numFmtId="0" fontId="0" fillId="0" borderId="0" xfId="0" applyAlignment="1">
      <alignment wrapText="1"/>
    </xf>
    <xf numFmtId="0" fontId="51" fillId="28" borderId="0" xfId="0" applyFont="1" applyFill="1" applyAlignment="1">
      <alignment horizontal="left" vertical="top"/>
    </xf>
    <xf numFmtId="49" fontId="22" fillId="15" borderId="24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wrapText="1"/>
      <protection locked="0"/>
    </xf>
    <xf numFmtId="0" fontId="13" fillId="0" borderId="0" xfId="0" applyFont="1" applyAlignment="1" applyProtection="1">
      <alignment wrapText="1"/>
      <protection locked="0"/>
    </xf>
    <xf numFmtId="0" fontId="21" fillId="13" borderId="0" xfId="0" applyFont="1" applyFill="1" applyAlignment="1">
      <alignment vertical="center" wrapText="1"/>
    </xf>
    <xf numFmtId="0" fontId="12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48" fillId="0" borderId="24" xfId="0" quotePrefix="1" applyFont="1" applyBorder="1" applyAlignment="1" applyProtection="1">
      <alignment horizontal="center" vertical="center" wrapText="1"/>
      <protection locked="0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26" fillId="0" borderId="0" xfId="0" applyFont="1" applyAlignment="1">
      <alignment horizontal="center" wrapText="1"/>
    </xf>
    <xf numFmtId="0" fontId="26" fillId="13" borderId="6" xfId="0" applyFont="1" applyFill="1" applyBorder="1" applyAlignment="1">
      <alignment horizontal="left" vertical="center" indent="20"/>
    </xf>
    <xf numFmtId="0" fontId="26" fillId="13" borderId="7" xfId="0" applyFont="1" applyFill="1" applyBorder="1" applyAlignment="1">
      <alignment horizontal="left" vertical="center" indent="20"/>
    </xf>
    <xf numFmtId="0" fontId="26" fillId="13" borderId="8" xfId="0" applyFont="1" applyFill="1" applyBorder="1" applyAlignment="1">
      <alignment horizontal="left" vertical="center" indent="20"/>
    </xf>
    <xf numFmtId="0" fontId="26" fillId="0" borderId="4" xfId="0" applyFont="1" applyBorder="1" applyAlignment="1">
      <alignment horizontal="left" vertical="center" indent="7"/>
    </xf>
    <xf numFmtId="0" fontId="31" fillId="0" borderId="1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39" fillId="10" borderId="16" xfId="0" applyFont="1" applyFill="1" applyBorder="1" applyAlignment="1">
      <alignment horizontal="left" vertical="top" wrapText="1"/>
    </xf>
    <xf numFmtId="0" fontId="39" fillId="10" borderId="0" xfId="0" applyFont="1" applyFill="1" applyAlignment="1">
      <alignment horizontal="left" vertical="top" wrapText="1"/>
    </xf>
    <xf numFmtId="0" fontId="24" fillId="10" borderId="15" xfId="0" applyFont="1" applyFill="1" applyBorder="1" applyAlignment="1">
      <alignment horizontal="left" vertical="top" wrapText="1"/>
    </xf>
    <xf numFmtId="0" fontId="24" fillId="10" borderId="16" xfId="0" applyFont="1" applyFill="1" applyBorder="1" applyAlignment="1">
      <alignment horizontal="left" vertical="top" wrapText="1"/>
    </xf>
    <xf numFmtId="0" fontId="36" fillId="10" borderId="16" xfId="0" applyFont="1" applyFill="1" applyBorder="1" applyAlignment="1">
      <alignment horizontal="left" vertical="top" wrapText="1"/>
    </xf>
    <xf numFmtId="0" fontId="26" fillId="2" borderId="10" xfId="0" applyFont="1" applyFill="1" applyBorder="1" applyAlignment="1">
      <alignment horizontal="left" vertical="center" wrapText="1"/>
    </xf>
    <xf numFmtId="0" fontId="26" fillId="2" borderId="11" xfId="0" applyFont="1" applyFill="1" applyBorder="1" applyAlignment="1">
      <alignment horizontal="left" vertical="center" wrapText="1"/>
    </xf>
    <xf numFmtId="0" fontId="26" fillId="2" borderId="12" xfId="0" applyFont="1" applyFill="1" applyBorder="1" applyAlignment="1">
      <alignment horizontal="left" vertical="center" wrapText="1"/>
    </xf>
    <xf numFmtId="0" fontId="24" fillId="10" borderId="0" xfId="0" applyFont="1" applyFill="1" applyAlignment="1">
      <alignment horizontal="left" vertical="top" wrapText="1"/>
    </xf>
    <xf numFmtId="0" fontId="24" fillId="0" borderId="24" xfId="0" applyFont="1" applyBorder="1" applyAlignment="1">
      <alignment horizontal="center"/>
    </xf>
    <xf numFmtId="0" fontId="24" fillId="0" borderId="18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17" xfId="0" applyFont="1" applyBorder="1" applyAlignment="1">
      <alignment horizontal="left" vertical="center" wrapText="1"/>
    </xf>
    <xf numFmtId="0" fontId="34" fillId="0" borderId="14" xfId="0" applyFont="1" applyBorder="1" applyAlignment="1">
      <alignment horizontal="center"/>
    </xf>
    <xf numFmtId="0" fontId="36" fillId="1" borderId="18" xfId="0" applyFont="1" applyFill="1" applyBorder="1" applyAlignment="1">
      <alignment horizontal="center" vertical="center" textRotation="90" wrapText="1" readingOrder="1"/>
    </xf>
    <xf numFmtId="0" fontId="36" fillId="1" borderId="0" xfId="0" applyFont="1" applyFill="1" applyAlignment="1">
      <alignment horizontal="center" vertical="center" textRotation="90" wrapText="1" readingOrder="1"/>
    </xf>
    <xf numFmtId="0" fontId="36" fillId="1" borderId="17" xfId="0" applyFont="1" applyFill="1" applyBorder="1" applyAlignment="1">
      <alignment horizontal="center" vertical="center" textRotation="90" wrapText="1" readingOrder="1"/>
    </xf>
    <xf numFmtId="0" fontId="36" fillId="10" borderId="18" xfId="0" applyFont="1" applyFill="1" applyBorder="1" applyAlignment="1">
      <alignment horizontal="center" vertical="center" textRotation="90" wrapText="1" readingOrder="1"/>
    </xf>
    <xf numFmtId="0" fontId="36" fillId="10" borderId="0" xfId="0" applyFont="1" applyFill="1" applyAlignment="1">
      <alignment horizontal="center" vertical="center" textRotation="90" wrapText="1" readingOrder="1"/>
    </xf>
    <xf numFmtId="0" fontId="36" fillId="10" borderId="17" xfId="0" applyFont="1" applyFill="1" applyBorder="1" applyAlignment="1">
      <alignment horizontal="center" vertical="center" textRotation="90" wrapText="1" readingOrder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horizontal="center" vertical="center" wrapText="1" readingOrder="1"/>
    </xf>
    <xf numFmtId="0" fontId="1" fillId="0" borderId="0" xfId="1" applyAlignment="1" applyProtection="1">
      <alignment horizontal="center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6" fillId="2" borderId="0" xfId="1" applyFont="1" applyFill="1" applyAlignment="1" applyProtection="1">
      <alignment horizontal="center" vertical="center" wrapText="1"/>
      <protection locked="0"/>
    </xf>
    <xf numFmtId="0" fontId="9" fillId="10" borderId="0" xfId="0" applyFont="1" applyFill="1" applyAlignment="1" applyProtection="1">
      <alignment horizontal="center" vertical="center"/>
      <protection locked="0"/>
    </xf>
    <xf numFmtId="49" fontId="20" fillId="13" borderId="1" xfId="0" applyNumberFormat="1" applyFont="1" applyFill="1" applyBorder="1" applyAlignment="1">
      <alignment horizontal="center" vertical="center" wrapText="1"/>
    </xf>
    <xf numFmtId="49" fontId="20" fillId="13" borderId="2" xfId="0" applyNumberFormat="1" applyFont="1" applyFill="1" applyBorder="1" applyAlignment="1">
      <alignment horizontal="center" vertical="center" wrapText="1"/>
    </xf>
    <xf numFmtId="49" fontId="20" fillId="2" borderId="5" xfId="0" applyNumberFormat="1" applyFont="1" applyFill="1" applyBorder="1" applyAlignment="1">
      <alignment horizontal="left" vertical="center" wrapText="1"/>
    </xf>
    <xf numFmtId="49" fontId="20" fillId="2" borderId="0" xfId="0" applyNumberFormat="1" applyFont="1" applyFill="1" applyAlignment="1">
      <alignment horizontal="left" vertical="center" wrapText="1"/>
    </xf>
    <xf numFmtId="49" fontId="20" fillId="2" borderId="9" xfId="0" applyNumberFormat="1" applyFont="1" applyFill="1" applyBorder="1" applyAlignment="1">
      <alignment horizontal="left" vertical="center" wrapText="1"/>
    </xf>
    <xf numFmtId="49" fontId="33" fillId="10" borderId="14" xfId="0" applyNumberFormat="1" applyFont="1" applyFill="1" applyBorder="1" applyAlignment="1"/>
  </cellXfs>
  <cellStyles count="6">
    <cellStyle name="Normal" xfId="0" builtinId="0"/>
    <cellStyle name="Normal 2" xfId="4" xr:uid="{00000000-0005-0000-0000-000000000000}"/>
    <cellStyle name="Normal 3" xfId="3" xr:uid="{00000000-0005-0000-0000-000001000000}"/>
    <cellStyle name="Normale 2" xfId="1" xr:uid="{00000000-0005-0000-0000-000003000000}"/>
    <cellStyle name="Percent" xfId="2" builtinId="5"/>
    <cellStyle name="Percent 2" xfId="5" xr:uid="{00000000-0005-0000-0000-000004000000}"/>
  </cellStyles>
  <dxfs count="69"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AFAFB4"/>
      <color rgb="FF001437"/>
      <color rgb="FF4D5B73"/>
      <color rgb="FFDDF5FF"/>
      <color rgb="FFB7EAFF"/>
      <color rgb="FF00A5E6"/>
      <color rgb="FFDADEE6"/>
      <color rgb="FFF3CCC5"/>
      <color rgb="FFD75641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423315835520524"/>
          <c:y val="2.1248776155831407E-2"/>
          <c:w val="0.45562489063868172"/>
          <c:h val="0.75937481773114279"/>
        </c:manualLayout>
      </c:layout>
      <c:pieChart>
        <c:varyColors val="0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FB7-400B-AFA6-DC63129609E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3-9FB7-400B-AFA6-DC63129609E1}"/>
              </c:ext>
            </c:extLst>
          </c:dPt>
          <c:dPt>
            <c:idx val="2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FB7-400B-AFA6-DC63129609E1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9FB7-400B-AFA6-DC63129609E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9FB7-400B-AFA6-DC63129609E1}"/>
              </c:ext>
            </c:extLst>
          </c:dPt>
          <c:dPt>
            <c:idx val="5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9FB7-400B-AFA6-DC63129609E1}"/>
              </c:ext>
            </c:extLst>
          </c:dPt>
          <c:dPt>
            <c:idx val="6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9FB7-400B-AFA6-DC63129609E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Cruscotto!$C$5:$I$5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B7-400B-AFA6-DC63129609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bg1"/>
    </a:solidFill>
    <a:ln w="0">
      <a:solidFill>
        <a:srgbClr val="AFAFB4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Source Sans Pro" panose="020B0503030403020204" pitchFamily="34" charset="0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1</xdr:col>
      <xdr:colOff>495300</xdr:colOff>
      <xdr:row>3</xdr:row>
      <xdr:rowOff>92033</xdr:rowOff>
    </xdr:to>
    <xdr:pic>
      <xdr:nvPicPr>
        <xdr:cNvPr id="2" name="Immagine 2" descr="logo_cedacri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247650"/>
          <a:ext cx="2362200" cy="53970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28575</xdr:rowOff>
        </xdr:from>
        <xdr:to>
          <xdr:col>3</xdr:col>
          <xdr:colOff>333375</xdr:colOff>
          <xdr:row>1</xdr:row>
          <xdr:rowOff>228600</xdr:rowOff>
        </xdr:to>
        <xdr:sp macro="" textlink="">
          <xdr:nvSpPr>
            <xdr:cNvPr id="4106" name="Check Box 6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28575</xdr:rowOff>
        </xdr:from>
        <xdr:to>
          <xdr:col>3</xdr:col>
          <xdr:colOff>333375</xdr:colOff>
          <xdr:row>2</xdr:row>
          <xdr:rowOff>219075</xdr:rowOff>
        </xdr:to>
        <xdr:sp macro="" textlink="">
          <xdr:nvSpPr>
            <xdr:cNvPr id="4108" name="Check Box 6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3</xdr:row>
          <xdr:rowOff>28575</xdr:rowOff>
        </xdr:from>
        <xdr:to>
          <xdr:col>3</xdr:col>
          <xdr:colOff>333375</xdr:colOff>
          <xdr:row>3</xdr:row>
          <xdr:rowOff>219075</xdr:rowOff>
        </xdr:to>
        <xdr:sp macro="" textlink="">
          <xdr:nvSpPr>
            <xdr:cNvPr id="4109" name="Check Box 6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28575</xdr:rowOff>
        </xdr:from>
        <xdr:to>
          <xdr:col>4</xdr:col>
          <xdr:colOff>333375</xdr:colOff>
          <xdr:row>2</xdr:row>
          <xdr:rowOff>219075</xdr:rowOff>
        </xdr:to>
        <xdr:sp macro="" textlink="">
          <xdr:nvSpPr>
            <xdr:cNvPr id="4111" name="Check Box 6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28575</xdr:rowOff>
        </xdr:from>
        <xdr:to>
          <xdr:col>4</xdr:col>
          <xdr:colOff>333375</xdr:colOff>
          <xdr:row>3</xdr:row>
          <xdr:rowOff>219075</xdr:rowOff>
        </xdr:to>
        <xdr:sp macro="" textlink="">
          <xdr:nvSpPr>
            <xdr:cNvPr id="4113" name="Check Box 6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4</xdr:row>
      <xdr:rowOff>28575</xdr:rowOff>
    </xdr:from>
    <xdr:to>
      <xdr:col>9</xdr:col>
      <xdr:colOff>438150</xdr:colOff>
      <xdr:row>5</xdr:row>
      <xdr:rowOff>0</xdr:rowOff>
    </xdr:to>
    <xdr:sp macro="" textlink="">
      <xdr:nvSpPr>
        <xdr:cNvPr id="2" name="Freccia bidirezionale orizzonta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77025" y="847725"/>
          <a:ext cx="390525" cy="171450"/>
        </a:xfrm>
        <a:prstGeom prst="leftRightArrow">
          <a:avLst/>
        </a:prstGeom>
        <a:solidFill>
          <a:srgbClr val="4D5B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428625</xdr:colOff>
      <xdr:row>2</xdr:row>
      <xdr:rowOff>190500</xdr:rowOff>
    </xdr:to>
    <xdr:graphicFrame macro="">
      <xdr:nvGraphicFramePr>
        <xdr:cNvPr id="2" name="Grafic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142875</xdr:rowOff>
        </xdr:from>
        <xdr:to>
          <xdr:col>0</xdr:col>
          <xdr:colOff>2009775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Comic Sans MS"/>
                </a:rPr>
                <a:t>Crea/Aggiorna Cruscotto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Q39"/>
  <sheetViews>
    <sheetView zoomScale="85" zoomScaleNormal="85" workbookViewId="0">
      <selection activeCell="D5" sqref="D5"/>
    </sheetView>
  </sheetViews>
  <sheetFormatPr defaultColWidth="9.42578125" defaultRowHeight="15"/>
  <cols>
    <col min="1" max="1" width="28" style="9" customWidth="1"/>
    <col min="2" max="2" width="12.5703125" style="9" customWidth="1"/>
    <col min="3" max="3" width="20.5703125" style="9" customWidth="1"/>
    <col min="4" max="4" width="48.5703125" style="10" customWidth="1"/>
    <col min="5" max="5" width="22" style="9" customWidth="1"/>
    <col min="6" max="8" width="9.42578125" style="4"/>
    <col min="9" max="9" width="10.42578125" style="4" customWidth="1"/>
    <col min="10" max="13" width="9.42578125" style="4"/>
    <col min="14" max="16384" width="9.42578125" style="9"/>
  </cols>
  <sheetData>
    <row r="1" spans="1:9" ht="15.75">
      <c r="A1" s="220" t="s">
        <v>0</v>
      </c>
      <c r="B1" s="221"/>
      <c r="C1" s="221"/>
      <c r="D1" s="221"/>
      <c r="E1" s="222"/>
      <c r="F1" s="4" t="s">
        <v>1</v>
      </c>
    </row>
    <row r="2" spans="1:9" ht="20.100000000000001" customHeight="1">
      <c r="A2" s="70"/>
      <c r="B2" s="219" t="s">
        <v>2</v>
      </c>
      <c r="C2" s="219"/>
      <c r="D2" s="71" t="s">
        <v>3</v>
      </c>
      <c r="E2" s="72"/>
    </row>
    <row r="3" spans="1:9" ht="20.100000000000001" customHeight="1">
      <c r="A3" s="70"/>
      <c r="B3" s="73"/>
      <c r="C3" s="73"/>
      <c r="D3" s="74" t="s">
        <v>4</v>
      </c>
      <c r="E3" s="189" t="s">
        <v>5</v>
      </c>
    </row>
    <row r="4" spans="1:9" ht="20.100000000000001" customHeight="1" thickBot="1">
      <c r="A4" s="75"/>
      <c r="B4" s="223"/>
      <c r="C4" s="223"/>
      <c r="D4" s="76" t="s">
        <v>6</v>
      </c>
      <c r="E4" s="190" t="s">
        <v>7</v>
      </c>
    </row>
    <row r="5" spans="1:9" ht="30" customHeight="1">
      <c r="A5" s="77" t="s">
        <v>8</v>
      </c>
      <c r="B5" s="224" t="s">
        <v>9</v>
      </c>
      <c r="C5" s="225"/>
      <c r="D5" s="78" t="s">
        <v>10</v>
      </c>
      <c r="E5" s="79"/>
    </row>
    <row r="6" spans="1:9" ht="15.75" thickBot="1">
      <c r="A6" s="80"/>
      <c r="B6" s="217" t="s">
        <v>11</v>
      </c>
      <c r="C6" s="218"/>
      <c r="D6" s="197">
        <v>45368</v>
      </c>
      <c r="E6" s="81"/>
      <c r="F6" s="4" t="s">
        <v>12</v>
      </c>
    </row>
    <row r="7" spans="1:9">
      <c r="A7" s="82"/>
      <c r="B7" s="83"/>
      <c r="C7" s="83"/>
      <c r="D7" s="84"/>
      <c r="E7" s="85"/>
      <c r="F7" s="4" t="s">
        <v>10</v>
      </c>
    </row>
    <row r="8" spans="1:9" ht="19.5" thickBot="1">
      <c r="A8" s="259" t="s">
        <v>13</v>
      </c>
      <c r="B8" s="259"/>
      <c r="C8" s="259"/>
      <c r="D8" s="259"/>
      <c r="E8" s="259"/>
      <c r="F8" s="64" t="s">
        <v>14</v>
      </c>
    </row>
    <row r="9" spans="1:9" ht="75">
      <c r="A9" s="101" t="s">
        <v>15</v>
      </c>
      <c r="B9" s="228" t="s">
        <v>16</v>
      </c>
      <c r="C9" s="228"/>
      <c r="D9" s="86" t="s">
        <v>17</v>
      </c>
      <c r="E9" s="87" t="s">
        <v>18</v>
      </c>
      <c r="H9" s="13"/>
      <c r="I9" s="14"/>
    </row>
    <row r="10" spans="1:9">
      <c r="A10" s="88"/>
      <c r="B10" s="88"/>
      <c r="C10" s="88"/>
      <c r="D10" s="89"/>
      <c r="E10" s="88"/>
      <c r="F10" s="64"/>
    </row>
    <row r="11" spans="1:9" ht="30.75" customHeight="1">
      <c r="A11" s="102" t="s">
        <v>19</v>
      </c>
      <c r="B11" s="230" t="s">
        <v>20</v>
      </c>
      <c r="C11" s="230"/>
      <c r="D11" s="99" t="s">
        <v>21</v>
      </c>
      <c r="E11" s="98" t="s">
        <v>18</v>
      </c>
      <c r="F11" s="64"/>
      <c r="H11" s="13"/>
    </row>
    <row r="12" spans="1:9" ht="45">
      <c r="A12" s="100" t="s">
        <v>22</v>
      </c>
      <c r="B12" s="229" t="s">
        <v>23</v>
      </c>
      <c r="C12" s="229"/>
      <c r="D12" s="97" t="s">
        <v>24</v>
      </c>
      <c r="E12" s="98" t="s">
        <v>25</v>
      </c>
      <c r="F12" s="64"/>
    </row>
    <row r="13" spans="1:9" ht="75">
      <c r="A13" s="100" t="s">
        <v>26</v>
      </c>
      <c r="B13" s="229" t="s">
        <v>27</v>
      </c>
      <c r="C13" s="229"/>
      <c r="D13" s="99" t="s">
        <v>28</v>
      </c>
      <c r="E13" s="98" t="s">
        <v>25</v>
      </c>
      <c r="F13" s="64"/>
    </row>
    <row r="14" spans="1:9" ht="45">
      <c r="A14" s="100" t="s">
        <v>29</v>
      </c>
      <c r="B14" s="229" t="s">
        <v>30</v>
      </c>
      <c r="C14" s="229"/>
      <c r="D14" s="99" t="s">
        <v>31</v>
      </c>
      <c r="E14" s="98" t="s">
        <v>25</v>
      </c>
      <c r="F14" s="64"/>
    </row>
    <row r="15" spans="1:9" ht="68.25" customHeight="1">
      <c r="A15" s="100" t="s">
        <v>32</v>
      </c>
      <c r="B15" s="229" t="s">
        <v>33</v>
      </c>
      <c r="C15" s="229"/>
      <c r="D15" s="99" t="s">
        <v>34</v>
      </c>
      <c r="E15" s="98" t="s">
        <v>25</v>
      </c>
      <c r="F15" s="64"/>
    </row>
    <row r="16" spans="1:9" ht="168">
      <c r="A16" s="100" t="s">
        <v>35</v>
      </c>
      <c r="B16" s="229" t="s">
        <v>36</v>
      </c>
      <c r="C16" s="229"/>
      <c r="D16" s="97" t="s">
        <v>37</v>
      </c>
      <c r="E16" s="98" t="s">
        <v>25</v>
      </c>
      <c r="F16" s="64"/>
    </row>
    <row r="17" spans="1:17">
      <c r="A17" s="88"/>
      <c r="B17" s="88"/>
      <c r="C17" s="88"/>
      <c r="D17" s="89"/>
      <c r="E17" s="88"/>
      <c r="F17" s="64"/>
      <c r="N17" s="15"/>
      <c r="O17" s="15"/>
      <c r="P17" s="15"/>
      <c r="Q17" s="15"/>
    </row>
    <row r="18" spans="1:17">
      <c r="A18" s="103" t="s">
        <v>38</v>
      </c>
      <c r="B18" s="229" t="s">
        <v>39</v>
      </c>
      <c r="C18" s="229"/>
      <c r="D18" s="97" t="s">
        <v>40</v>
      </c>
      <c r="E18" s="104" t="s">
        <v>18</v>
      </c>
      <c r="F18" s="64"/>
      <c r="N18" s="15"/>
      <c r="O18" s="15"/>
      <c r="P18" s="15"/>
      <c r="Q18" s="15"/>
    </row>
    <row r="19" spans="1:17">
      <c r="A19" s="103" t="s">
        <v>41</v>
      </c>
      <c r="B19" s="229" t="s">
        <v>42</v>
      </c>
      <c r="C19" s="229"/>
      <c r="D19" s="97" t="s">
        <v>43</v>
      </c>
      <c r="E19" s="104" t="s">
        <v>18</v>
      </c>
      <c r="F19" s="64"/>
      <c r="H19" s="12"/>
      <c r="N19" s="15"/>
      <c r="O19" s="15"/>
      <c r="P19" s="15"/>
      <c r="Q19" s="15"/>
    </row>
    <row r="20" spans="1:17">
      <c r="A20" s="103" t="s">
        <v>44</v>
      </c>
      <c r="B20" s="229" t="s">
        <v>45</v>
      </c>
      <c r="C20" s="229"/>
      <c r="D20" s="97" t="s">
        <v>46</v>
      </c>
      <c r="E20" s="104" t="s">
        <v>18</v>
      </c>
      <c r="F20" s="64"/>
      <c r="N20" s="15"/>
      <c r="O20" s="15"/>
      <c r="P20" s="15"/>
      <c r="Q20" s="15"/>
    </row>
    <row r="21" spans="1:17" ht="48.6" customHeight="1">
      <c r="A21" s="103" t="s">
        <v>47</v>
      </c>
      <c r="B21" s="229" t="s">
        <v>48</v>
      </c>
      <c r="C21" s="229"/>
      <c r="D21" s="97" t="s">
        <v>49</v>
      </c>
      <c r="E21" s="105" t="s">
        <v>50</v>
      </c>
      <c r="F21" s="64"/>
      <c r="N21" s="15"/>
      <c r="O21" s="15"/>
      <c r="P21" s="15"/>
      <c r="Q21" s="15"/>
    </row>
    <row r="22" spans="1:17" ht="48.75" customHeight="1">
      <c r="A22" s="106" t="s">
        <v>51</v>
      </c>
      <c r="B22" s="234" t="s">
        <v>52</v>
      </c>
      <c r="C22" s="234"/>
      <c r="D22" s="96" t="s">
        <v>53</v>
      </c>
      <c r="E22" s="107" t="s">
        <v>18</v>
      </c>
      <c r="F22" s="64"/>
      <c r="N22" s="15"/>
      <c r="O22" s="15"/>
      <c r="P22" s="15"/>
      <c r="Q22" s="15"/>
    </row>
    <row r="23" spans="1:17" ht="45">
      <c r="A23" s="103" t="s">
        <v>54</v>
      </c>
      <c r="B23" s="229" t="s">
        <v>55</v>
      </c>
      <c r="C23" s="229"/>
      <c r="D23" s="97" t="s">
        <v>56</v>
      </c>
      <c r="E23" s="104" t="s">
        <v>18</v>
      </c>
      <c r="F23" s="64"/>
      <c r="N23" s="15"/>
      <c r="O23" s="15"/>
      <c r="P23" s="15"/>
      <c r="Q23" s="15"/>
    </row>
    <row r="24" spans="1:17" ht="30">
      <c r="A24" s="108" t="s">
        <v>57</v>
      </c>
      <c r="B24" s="234" t="s">
        <v>58</v>
      </c>
      <c r="C24" s="234"/>
      <c r="D24" s="96" t="s">
        <v>59</v>
      </c>
      <c r="E24" s="107" t="s">
        <v>18</v>
      </c>
      <c r="F24" s="64"/>
      <c r="N24" s="15"/>
      <c r="O24" s="15"/>
      <c r="P24" s="15"/>
      <c r="Q24" s="15"/>
    </row>
    <row r="25" spans="1:17" ht="60">
      <c r="A25" s="109" t="s">
        <v>60</v>
      </c>
      <c r="B25" s="229" t="s">
        <v>61</v>
      </c>
      <c r="C25" s="229"/>
      <c r="D25" s="97" t="s">
        <v>62</v>
      </c>
      <c r="E25" s="104" t="s">
        <v>18</v>
      </c>
      <c r="F25" s="64"/>
      <c r="N25" s="15"/>
      <c r="O25" s="15"/>
      <c r="P25" s="15"/>
      <c r="Q25" s="15"/>
    </row>
    <row r="26" spans="1:17">
      <c r="A26" s="91"/>
      <c r="B26" s="92"/>
      <c r="C26" s="92"/>
      <c r="D26" s="93"/>
      <c r="E26" s="94"/>
      <c r="F26" s="64"/>
      <c r="N26" s="15"/>
      <c r="O26" s="15"/>
      <c r="P26" s="15"/>
      <c r="Q26" s="15"/>
    </row>
    <row r="27" spans="1:17" s="11" customFormat="1" ht="90">
      <c r="A27" s="110" t="s">
        <v>63</v>
      </c>
      <c r="B27" s="226" t="s">
        <v>64</v>
      </c>
      <c r="C27" s="226"/>
      <c r="D27" s="111" t="s">
        <v>65</v>
      </c>
      <c r="E27" s="98" t="s">
        <v>66</v>
      </c>
      <c r="F27" s="64"/>
      <c r="G27" s="4"/>
      <c r="H27" s="4"/>
      <c r="I27" s="4"/>
      <c r="J27" s="4"/>
      <c r="K27" s="4"/>
      <c r="L27" s="4"/>
      <c r="M27" s="4"/>
      <c r="N27" s="15"/>
      <c r="O27" s="15"/>
      <c r="P27" s="15"/>
      <c r="Q27" s="15"/>
    </row>
    <row r="28" spans="1:17" ht="33" customHeight="1">
      <c r="A28" s="112" t="s">
        <v>67</v>
      </c>
      <c r="B28" s="227" t="s">
        <v>68</v>
      </c>
      <c r="C28" s="227"/>
      <c r="D28" s="113" t="s">
        <v>69</v>
      </c>
      <c r="E28" s="95" t="s">
        <v>66</v>
      </c>
      <c r="F28" s="64"/>
      <c r="N28" s="15"/>
      <c r="O28" s="15"/>
      <c r="P28" s="15"/>
      <c r="Q28" s="15"/>
    </row>
    <row r="29" spans="1:17" ht="33" customHeight="1">
      <c r="A29" s="110" t="s">
        <v>70</v>
      </c>
      <c r="B29" s="226" t="s">
        <v>71</v>
      </c>
      <c r="C29" s="226"/>
      <c r="D29" s="111"/>
      <c r="E29" s="98" t="s">
        <v>66</v>
      </c>
      <c r="F29" s="64"/>
      <c r="N29" s="15"/>
      <c r="O29" s="15"/>
      <c r="P29" s="15"/>
      <c r="Q29" s="15"/>
    </row>
    <row r="30" spans="1:17" ht="30">
      <c r="A30" s="112" t="s">
        <v>72</v>
      </c>
      <c r="B30" s="227" t="s">
        <v>73</v>
      </c>
      <c r="C30" s="227"/>
      <c r="D30" s="113" t="s">
        <v>74</v>
      </c>
      <c r="E30" s="95" t="s">
        <v>66</v>
      </c>
      <c r="F30" s="64"/>
      <c r="N30" s="15"/>
      <c r="O30" s="15"/>
      <c r="P30" s="15"/>
      <c r="Q30" s="15"/>
    </row>
    <row r="31" spans="1:17" ht="33" customHeight="1">
      <c r="A31" s="114" t="s">
        <v>75</v>
      </c>
      <c r="B31" s="226" t="s">
        <v>76</v>
      </c>
      <c r="C31" s="226"/>
      <c r="D31" s="111" t="s">
        <v>77</v>
      </c>
      <c r="E31" s="98" t="s">
        <v>66</v>
      </c>
      <c r="F31" s="64"/>
      <c r="N31" s="15"/>
      <c r="O31" s="15"/>
      <c r="P31" s="15"/>
      <c r="Q31" s="15"/>
    </row>
    <row r="32" spans="1:17" ht="50.25" customHeight="1">
      <c r="A32" s="114" t="s">
        <v>78</v>
      </c>
      <c r="B32" s="226" t="s">
        <v>79</v>
      </c>
      <c r="C32" s="226"/>
      <c r="D32" s="111" t="s">
        <v>80</v>
      </c>
      <c r="E32" s="98" t="s">
        <v>66</v>
      </c>
      <c r="F32" s="64"/>
      <c r="N32" s="15"/>
      <c r="O32" s="15"/>
      <c r="P32" s="15"/>
      <c r="Q32" s="15"/>
    </row>
    <row r="33" spans="1:6">
      <c r="A33" s="88"/>
      <c r="B33" s="88"/>
      <c r="C33" s="88"/>
      <c r="D33" s="89"/>
      <c r="E33" s="88"/>
      <c r="F33" s="64"/>
    </row>
    <row r="34" spans="1:6" ht="34.5" customHeight="1">
      <c r="A34" s="115" t="s">
        <v>81</v>
      </c>
      <c r="B34" s="226" t="s">
        <v>82</v>
      </c>
      <c r="C34" s="226"/>
      <c r="D34" s="111"/>
      <c r="E34" s="105" t="s">
        <v>50</v>
      </c>
      <c r="F34" s="64"/>
    </row>
    <row r="35" spans="1:6" ht="40.5" customHeight="1">
      <c r="A35" s="116" t="s">
        <v>83</v>
      </c>
      <c r="B35" s="226" t="s">
        <v>84</v>
      </c>
      <c r="C35" s="226"/>
      <c r="D35" s="111"/>
      <c r="E35" s="105" t="s">
        <v>50</v>
      </c>
      <c r="F35" s="64"/>
    </row>
    <row r="36" spans="1:6" ht="60">
      <c r="A36" s="117" t="s">
        <v>85</v>
      </c>
      <c r="B36" s="227" t="s">
        <v>86</v>
      </c>
      <c r="C36" s="227"/>
      <c r="D36" s="113" t="s">
        <v>87</v>
      </c>
      <c r="E36" s="118" t="s">
        <v>50</v>
      </c>
      <c r="F36" s="64"/>
    </row>
    <row r="37" spans="1:6" ht="45">
      <c r="A37" s="116" t="s">
        <v>88</v>
      </c>
      <c r="B37" s="226" t="s">
        <v>89</v>
      </c>
      <c r="C37" s="226"/>
      <c r="D37" s="111" t="s">
        <v>90</v>
      </c>
      <c r="E37" s="105" t="s">
        <v>50</v>
      </c>
      <c r="F37" s="64"/>
    </row>
    <row r="38" spans="1:6" ht="15.75" thickBot="1">
      <c r="A38" s="88"/>
      <c r="B38" s="88"/>
      <c r="C38" s="88"/>
      <c r="D38" s="89"/>
      <c r="E38" s="88"/>
      <c r="F38" s="64"/>
    </row>
    <row r="39" spans="1:6" ht="40.5" customHeight="1" thickBot="1">
      <c r="A39" s="231" t="s">
        <v>91</v>
      </c>
      <c r="B39" s="232"/>
      <c r="C39" s="232"/>
      <c r="D39" s="232"/>
      <c r="E39" s="233"/>
    </row>
  </sheetData>
  <mergeCells count="32">
    <mergeCell ref="B37:C37"/>
    <mergeCell ref="A39:E39"/>
    <mergeCell ref="B19:C19"/>
    <mergeCell ref="B20:C20"/>
    <mergeCell ref="B21:C21"/>
    <mergeCell ref="B22:C22"/>
    <mergeCell ref="B23:C23"/>
    <mergeCell ref="B25:C25"/>
    <mergeCell ref="B24:C24"/>
    <mergeCell ref="B34:C34"/>
    <mergeCell ref="B27:C27"/>
    <mergeCell ref="B28:C28"/>
    <mergeCell ref="B29:C29"/>
    <mergeCell ref="B30:C30"/>
    <mergeCell ref="B31:C31"/>
    <mergeCell ref="B32:C32"/>
    <mergeCell ref="B35:C35"/>
    <mergeCell ref="B36:C36"/>
    <mergeCell ref="A8:E8"/>
    <mergeCell ref="B9:C9"/>
    <mergeCell ref="B16:C16"/>
    <mergeCell ref="B18:C18"/>
    <mergeCell ref="B14:C14"/>
    <mergeCell ref="B15:C15"/>
    <mergeCell ref="B11:C11"/>
    <mergeCell ref="B12:C12"/>
    <mergeCell ref="B13:C13"/>
    <mergeCell ref="B6:C6"/>
    <mergeCell ref="B2:C2"/>
    <mergeCell ref="A1:E1"/>
    <mergeCell ref="B4:C4"/>
    <mergeCell ref="B5:C5"/>
  </mergeCells>
  <dataValidations count="1">
    <dataValidation type="list" allowBlank="1" showInputMessage="1" showErrorMessage="1" sqref="D5" xr:uid="{00000000-0002-0000-0000-000000000000}">
      <formula1>$F$6:$F$9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80" fitToHeight="2" orientation="portrait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28575</xdr:rowOff>
                  </from>
                  <to>
                    <xdr:col>3</xdr:col>
                    <xdr:colOff>333375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28575</xdr:rowOff>
                  </from>
                  <to>
                    <xdr:col>3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3</xdr:row>
                    <xdr:rowOff>28575</xdr:rowOff>
                  </from>
                  <to>
                    <xdr:col>3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2</xdr:row>
                    <xdr:rowOff>28575</xdr:rowOff>
                  </from>
                  <to>
                    <xdr:col>4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4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>
    <pageSetUpPr fitToPage="1"/>
  </sheetPr>
  <dimension ref="A1:T19"/>
  <sheetViews>
    <sheetView workbookViewId="0">
      <selection activeCell="R12" sqref="R12:R14"/>
    </sheetView>
  </sheetViews>
  <sheetFormatPr defaultRowHeight="15"/>
  <cols>
    <col min="1" max="1" width="13.42578125" customWidth="1"/>
    <col min="2" max="2" width="33.5703125" bestFit="1" customWidth="1"/>
    <col min="3" max="3" width="3.5703125" customWidth="1"/>
    <col min="4" max="4" width="3.42578125" customWidth="1"/>
    <col min="10" max="10" width="7.42578125" customWidth="1"/>
    <col min="11" max="12" width="6.5703125" customWidth="1"/>
    <col min="16" max="17" width="5.5703125" customWidth="1"/>
    <col min="19" max="19" width="3.42578125" customWidth="1"/>
  </cols>
  <sheetData>
    <row r="1" spans="1:20" ht="15.75" thickBot="1">
      <c r="A1" s="120" t="s">
        <v>63</v>
      </c>
      <c r="B1" s="121" t="s">
        <v>1</v>
      </c>
      <c r="C1" s="88"/>
      <c r="D1" s="239" t="s">
        <v>92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129"/>
    </row>
    <row r="2" spans="1:20">
      <c r="A2" s="122" t="s">
        <v>93</v>
      </c>
      <c r="B2" s="88"/>
      <c r="C2" s="88"/>
      <c r="D2" s="88"/>
      <c r="E2" s="88"/>
      <c r="F2" s="127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129"/>
    </row>
    <row r="3" spans="1:20">
      <c r="A3" s="123" t="s">
        <v>94</v>
      </c>
      <c r="B3" s="124" t="s">
        <v>95</v>
      </c>
      <c r="C3" s="88"/>
      <c r="D3" s="88"/>
      <c r="E3" s="240" t="s">
        <v>96</v>
      </c>
      <c r="F3" s="131" t="s">
        <v>97</v>
      </c>
      <c r="G3" s="132" t="s">
        <v>98</v>
      </c>
      <c r="H3" s="133" t="s">
        <v>99</v>
      </c>
      <c r="I3" s="133" t="s">
        <v>99</v>
      </c>
      <c r="J3" s="88"/>
      <c r="K3" s="243" t="s">
        <v>96</v>
      </c>
      <c r="L3" s="147">
        <v>9999</v>
      </c>
      <c r="M3" s="185" t="s">
        <v>100</v>
      </c>
      <c r="N3" s="185" t="s">
        <v>101</v>
      </c>
      <c r="O3" s="185" t="s">
        <v>101</v>
      </c>
      <c r="P3" s="88"/>
      <c r="Q3" s="88"/>
      <c r="R3" s="88"/>
      <c r="S3" s="88"/>
      <c r="T3" s="129"/>
    </row>
    <row r="4" spans="1:20">
      <c r="A4" s="122" t="s">
        <v>102</v>
      </c>
      <c r="B4" s="125" t="s">
        <v>103</v>
      </c>
      <c r="C4" s="88"/>
      <c r="D4" s="88"/>
      <c r="E4" s="241"/>
      <c r="F4" s="134" t="s">
        <v>104</v>
      </c>
      <c r="G4" s="135" t="s">
        <v>105</v>
      </c>
      <c r="H4" s="132" t="s">
        <v>98</v>
      </c>
      <c r="I4" s="133" t="s">
        <v>99</v>
      </c>
      <c r="J4" s="88"/>
      <c r="K4" s="244"/>
      <c r="L4" s="148">
        <v>20</v>
      </c>
      <c r="M4" s="186" t="s">
        <v>106</v>
      </c>
      <c r="N4" s="186" t="s">
        <v>100</v>
      </c>
      <c r="O4" s="186" t="s">
        <v>101</v>
      </c>
      <c r="P4" s="88"/>
      <c r="Q4" s="88"/>
      <c r="R4" s="88"/>
      <c r="S4" s="88"/>
      <c r="T4" s="129"/>
    </row>
    <row r="5" spans="1:20">
      <c r="A5" s="123" t="s">
        <v>107</v>
      </c>
      <c r="B5" s="124" t="s">
        <v>108</v>
      </c>
      <c r="C5" s="88"/>
      <c r="D5" s="88"/>
      <c r="E5" s="241"/>
      <c r="F5" s="136"/>
      <c r="G5" s="137"/>
      <c r="H5" s="138"/>
      <c r="I5" s="139"/>
      <c r="J5" s="88"/>
      <c r="K5" s="244"/>
      <c r="L5" s="149">
        <v>10</v>
      </c>
      <c r="M5" s="187" t="s">
        <v>106</v>
      </c>
      <c r="N5" s="187" t="s">
        <v>106</v>
      </c>
      <c r="O5" s="187" t="s">
        <v>101</v>
      </c>
      <c r="P5" s="88"/>
      <c r="Q5" s="88"/>
      <c r="R5" s="88"/>
      <c r="S5" s="88"/>
      <c r="T5" s="129"/>
    </row>
    <row r="6" spans="1:20">
      <c r="A6" s="122" t="s">
        <v>109</v>
      </c>
      <c r="B6" s="125" t="s">
        <v>110</v>
      </c>
      <c r="C6" s="88"/>
      <c r="D6" s="88"/>
      <c r="E6" s="241"/>
      <c r="F6" s="140" t="s">
        <v>111</v>
      </c>
      <c r="G6" s="135" t="s">
        <v>105</v>
      </c>
      <c r="H6" s="135" t="s">
        <v>105</v>
      </c>
      <c r="I6" s="133" t="s">
        <v>99</v>
      </c>
      <c r="J6" s="88"/>
      <c r="K6" s="244"/>
      <c r="L6" s="148">
        <v>0</v>
      </c>
      <c r="M6" s="186" t="s">
        <v>106</v>
      </c>
      <c r="N6" s="186" t="s">
        <v>106</v>
      </c>
      <c r="O6" s="186" t="s">
        <v>106</v>
      </c>
      <c r="P6" s="88"/>
      <c r="Q6" s="88"/>
      <c r="R6" s="88"/>
      <c r="S6" s="88"/>
      <c r="T6" s="129"/>
    </row>
    <row r="7" spans="1:20">
      <c r="A7" s="123" t="s">
        <v>112</v>
      </c>
      <c r="B7" s="124" t="s">
        <v>113</v>
      </c>
      <c r="C7" s="88"/>
      <c r="D7" s="88"/>
      <c r="E7" s="242"/>
      <c r="F7" s="141"/>
      <c r="G7" s="142" t="s">
        <v>114</v>
      </c>
      <c r="H7" s="142" t="s">
        <v>115</v>
      </c>
      <c r="I7" s="142" t="s">
        <v>116</v>
      </c>
      <c r="J7" s="88"/>
      <c r="K7" s="245"/>
      <c r="L7" s="150"/>
      <c r="M7" s="144" t="s">
        <v>114</v>
      </c>
      <c r="N7" s="144" t="s">
        <v>115</v>
      </c>
      <c r="O7" s="144" t="s">
        <v>116</v>
      </c>
      <c r="P7" s="88"/>
      <c r="Q7" s="88"/>
      <c r="R7" s="88"/>
      <c r="S7" s="88"/>
      <c r="T7" s="129"/>
    </row>
    <row r="8" spans="1:20">
      <c r="A8" s="88"/>
      <c r="B8" s="88"/>
      <c r="C8" s="88"/>
      <c r="D8" s="88"/>
      <c r="E8" s="143"/>
      <c r="F8" s="141"/>
      <c r="G8" s="246" t="s">
        <v>117</v>
      </c>
      <c r="H8" s="246"/>
      <c r="I8" s="246"/>
      <c r="J8" s="90"/>
      <c r="K8" s="145"/>
      <c r="L8" s="146"/>
      <c r="M8" s="247" t="s">
        <v>117</v>
      </c>
      <c r="N8" s="247"/>
      <c r="O8" s="247"/>
      <c r="P8" s="88"/>
      <c r="Q8" s="88"/>
      <c r="R8" s="88"/>
      <c r="S8" s="88"/>
      <c r="T8" s="129"/>
    </row>
    <row r="9" spans="1:20">
      <c r="A9" s="88"/>
      <c r="B9" s="88"/>
      <c r="C9" s="88"/>
      <c r="D9" s="88"/>
      <c r="E9" s="88"/>
      <c r="F9" s="127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129"/>
    </row>
    <row r="10" spans="1:20">
      <c r="A10" s="88"/>
      <c r="B10" s="88"/>
      <c r="C10" s="88"/>
      <c r="D10" s="88"/>
      <c r="E10" s="88"/>
      <c r="F10" s="127"/>
      <c r="G10" s="88"/>
      <c r="H10" s="88"/>
      <c r="I10" s="88"/>
      <c r="J10" s="88"/>
      <c r="K10" s="235" t="s">
        <v>118</v>
      </c>
      <c r="L10" s="235"/>
      <c r="M10" s="235"/>
      <c r="N10" s="235"/>
      <c r="O10" s="235"/>
      <c r="P10" s="88"/>
      <c r="Q10" s="88"/>
      <c r="R10" s="88"/>
      <c r="S10" s="88"/>
      <c r="T10" s="129"/>
    </row>
    <row r="11" spans="1:20">
      <c r="A11" s="88"/>
      <c r="B11" s="88"/>
      <c r="C11" s="88"/>
      <c r="D11" s="88"/>
      <c r="E11" s="88"/>
      <c r="F11" s="12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129"/>
    </row>
    <row r="12" spans="1:20">
      <c r="A12" s="88"/>
      <c r="B12" s="88"/>
      <c r="C12" s="88"/>
      <c r="D12" s="88"/>
      <c r="E12" s="88"/>
      <c r="F12" s="127"/>
      <c r="G12" s="88"/>
      <c r="H12" s="88"/>
      <c r="I12" s="88"/>
      <c r="J12" s="88"/>
      <c r="K12" s="236" t="s">
        <v>119</v>
      </c>
      <c r="L12" s="236"/>
      <c r="M12" s="236"/>
      <c r="N12" s="236"/>
      <c r="O12" s="236"/>
      <c r="P12" s="151" t="s">
        <v>120</v>
      </c>
      <c r="Q12" s="152">
        <v>1</v>
      </c>
      <c r="R12" s="185" t="s">
        <v>106</v>
      </c>
      <c r="S12" s="88"/>
      <c r="T12" s="129"/>
    </row>
    <row r="13" spans="1:20">
      <c r="A13" s="88"/>
      <c r="B13" s="88"/>
      <c r="C13" s="88"/>
      <c r="D13" s="88"/>
      <c r="E13" s="88"/>
      <c r="F13" s="127"/>
      <c r="G13" s="88"/>
      <c r="H13" s="88"/>
      <c r="I13" s="88"/>
      <c r="J13" s="88"/>
      <c r="K13" s="237"/>
      <c r="L13" s="237"/>
      <c r="M13" s="237"/>
      <c r="N13" s="237"/>
      <c r="O13" s="237"/>
      <c r="P13" s="155" t="s">
        <v>120</v>
      </c>
      <c r="Q13" s="156">
        <v>0.79</v>
      </c>
      <c r="R13" s="186" t="s">
        <v>100</v>
      </c>
      <c r="S13" s="88"/>
      <c r="T13" s="129"/>
    </row>
    <row r="14" spans="1:20">
      <c r="A14" s="88"/>
      <c r="B14" s="88"/>
      <c r="C14" s="88"/>
      <c r="D14" s="88"/>
      <c r="E14" s="88"/>
      <c r="F14" s="127"/>
      <c r="G14" s="88"/>
      <c r="H14" s="88"/>
      <c r="I14" s="88"/>
      <c r="J14" s="88"/>
      <c r="K14" s="238"/>
      <c r="L14" s="238"/>
      <c r="M14" s="238"/>
      <c r="N14" s="238"/>
      <c r="O14" s="238"/>
      <c r="P14" s="153" t="s">
        <v>120</v>
      </c>
      <c r="Q14" s="154">
        <v>0.64</v>
      </c>
      <c r="R14" s="188" t="s">
        <v>101</v>
      </c>
      <c r="S14" s="88"/>
      <c r="T14" s="129"/>
    </row>
    <row r="15" spans="1:20">
      <c r="A15" s="88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129"/>
    </row>
    <row r="16" spans="1:20">
      <c r="A16" s="88"/>
      <c r="B16" s="88"/>
      <c r="C16" s="88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9"/>
    </row>
    <row r="17" spans="1:20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9"/>
    </row>
    <row r="18" spans="1:20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30"/>
    </row>
    <row r="19" spans="1:20">
      <c r="A19" s="128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</row>
  </sheetData>
  <mergeCells count="7">
    <mergeCell ref="K10:O10"/>
    <mergeCell ref="K12:O14"/>
    <mergeCell ref="D1:S1"/>
    <mergeCell ref="E3:E7"/>
    <mergeCell ref="K3:K7"/>
    <mergeCell ref="G8:I8"/>
    <mergeCell ref="M8:O8"/>
  </mergeCells>
  <conditionalFormatting sqref="R13">
    <cfRule type="cellIs" dxfId="68" priority="1" operator="equal">
      <formula>"K"</formula>
    </cfRule>
    <cfRule type="cellIs" dxfId="67" priority="2" operator="equal">
      <formula>"L"</formula>
    </cfRule>
    <cfRule type="cellIs" dxfId="66" priority="3" operator="equal">
      <formula>"J"</formula>
    </cfRule>
  </conditionalFormatting>
  <conditionalFormatting sqref="M4">
    <cfRule type="cellIs" dxfId="65" priority="22" operator="equal">
      <formula>"K"</formula>
    </cfRule>
    <cfRule type="cellIs" dxfId="64" priority="23" operator="equal">
      <formula>"L"</formula>
    </cfRule>
    <cfRule type="cellIs" dxfId="63" priority="24" operator="equal">
      <formula>"J"</formula>
    </cfRule>
  </conditionalFormatting>
  <conditionalFormatting sqref="N4:O4">
    <cfRule type="cellIs" dxfId="62" priority="19" operator="equal">
      <formula>"K"</formula>
    </cfRule>
    <cfRule type="cellIs" dxfId="61" priority="20" operator="equal">
      <formula>"L"</formula>
    </cfRule>
    <cfRule type="cellIs" dxfId="60" priority="21" operator="equal">
      <formula>"J"</formula>
    </cfRule>
  </conditionalFormatting>
  <conditionalFormatting sqref="M6:O6">
    <cfRule type="cellIs" dxfId="59" priority="16" operator="equal">
      <formula>"K"</formula>
    </cfRule>
    <cfRule type="cellIs" dxfId="58" priority="17" operator="equal">
      <formula>"L"</formula>
    </cfRule>
    <cfRule type="cellIs" dxfId="57" priority="18" operator="equal">
      <formula>"J"</formula>
    </cfRule>
  </conditionalFormatting>
  <conditionalFormatting sqref="M3:O3">
    <cfRule type="cellIs" dxfId="56" priority="13" operator="equal">
      <formula>"K"</formula>
    </cfRule>
    <cfRule type="cellIs" dxfId="55" priority="14" operator="equal">
      <formula>"L"</formula>
    </cfRule>
    <cfRule type="cellIs" dxfId="54" priority="15" operator="equal">
      <formula>"J"</formula>
    </cfRule>
  </conditionalFormatting>
  <conditionalFormatting sqref="M5:O5">
    <cfRule type="cellIs" dxfId="53" priority="10" operator="equal">
      <formula>"K"</formula>
    </cfRule>
    <cfRule type="cellIs" dxfId="52" priority="11" operator="equal">
      <formula>"L"</formula>
    </cfRule>
    <cfRule type="cellIs" dxfId="51" priority="12" operator="equal">
      <formula>"J"</formula>
    </cfRule>
  </conditionalFormatting>
  <conditionalFormatting sqref="R14">
    <cfRule type="cellIs" dxfId="50" priority="4" operator="equal">
      <formula>"K"</formula>
    </cfRule>
    <cfRule type="cellIs" dxfId="49" priority="5" operator="equal">
      <formula>"L"</formula>
    </cfRule>
    <cfRule type="cellIs" dxfId="48" priority="6" operator="equal">
      <formula>"J"</formula>
    </cfRule>
  </conditionalFormatting>
  <conditionalFormatting sqref="R12">
    <cfRule type="cellIs" dxfId="47" priority="7" operator="equal">
      <formula>"K"</formula>
    </cfRule>
    <cfRule type="cellIs" dxfId="46" priority="8" operator="equal">
      <formula>"L"</formula>
    </cfRule>
    <cfRule type="cellIs" dxfId="45" priority="9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84" orientation="landscape" r:id="rId1"/>
  <headerFooter>
    <oddFooter>&amp;L&amp;F&amp;C&amp;A&amp;Rpag. 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>
    <pageSetUpPr fitToPage="1"/>
  </sheetPr>
  <dimension ref="A1:P60"/>
  <sheetViews>
    <sheetView zoomScale="80" zoomScaleNormal="80" workbookViewId="0"/>
  </sheetViews>
  <sheetFormatPr defaultColWidth="9.42578125" defaultRowHeight="12.75"/>
  <cols>
    <col min="1" max="1" width="40.42578125" style="2" customWidth="1"/>
    <col min="2" max="2" width="8" style="2" customWidth="1"/>
    <col min="3" max="3" width="7.5703125" style="2" customWidth="1"/>
    <col min="4" max="4" width="6.5703125" style="2" customWidth="1"/>
    <col min="5" max="5" width="7.5703125" style="2" customWidth="1"/>
    <col min="6" max="6" width="8" style="2" customWidth="1"/>
    <col min="7" max="7" width="5.5703125" style="2" customWidth="1"/>
    <col min="8" max="8" width="10.5703125" style="2" customWidth="1"/>
    <col min="9" max="9" width="6.42578125" style="2" customWidth="1"/>
    <col min="10" max="10" width="9.42578125" style="2" customWidth="1"/>
    <col min="11" max="11" width="8.42578125" style="2" customWidth="1"/>
    <col min="12" max="12" width="2.42578125" style="2" customWidth="1"/>
    <col min="13" max="13" width="4.42578125" style="2" customWidth="1"/>
    <col min="14" max="14" width="26.5703125" style="2" customWidth="1"/>
    <col min="15" max="15" width="7.42578125" style="2" customWidth="1"/>
    <col min="16" max="16384" width="9.42578125" style="2"/>
  </cols>
  <sheetData>
    <row r="1" spans="1:16" ht="60.75" customHeight="1">
      <c r="A1" s="184" t="s">
        <v>121</v>
      </c>
      <c r="J1" s="252" t="s">
        <v>122</v>
      </c>
      <c r="K1" s="252"/>
      <c r="L1" s="252"/>
      <c r="M1" s="164"/>
      <c r="N1" s="164"/>
      <c r="O1" s="164"/>
      <c r="P1" s="167"/>
    </row>
    <row r="2" spans="1:16" ht="88.5" customHeight="1">
      <c r="A2" s="248"/>
      <c r="J2" s="251" t="str">
        <f ca="1">IF(OR(L4="L",E4="L",F4="L",G4="L"),"L",IF(OR(L4="K",E4="K",F4="K",G4="K"),"K","J"))</f>
        <v>L</v>
      </c>
      <c r="K2" s="251" t="e">
        <f>IF(OR(#REF!="L",C2="L",E2="L",G2="L"),"L",IF(OR(#REF!="K",C2="K",E2="K",G2="K"),"K","J"))</f>
        <v>#REF!</v>
      </c>
      <c r="L2" s="251" t="str">
        <f>IF(OR(A2="L",D2="L",F2="L",H2="L"),"L",IF(OR(A2="K",D2="K",F2="K",H2="K"),"K","J"))</f>
        <v>J</v>
      </c>
      <c r="M2" s="164"/>
      <c r="N2" s="164"/>
      <c r="O2" s="164"/>
      <c r="P2" s="167"/>
    </row>
    <row r="3" spans="1:16" ht="15.75" customHeight="1">
      <c r="A3" s="248"/>
      <c r="J3" s="253"/>
      <c r="K3" s="253"/>
      <c r="L3" s="253"/>
      <c r="M3" s="164"/>
      <c r="N3" s="164"/>
      <c r="O3" s="164"/>
      <c r="P3" s="167"/>
    </row>
    <row r="4" spans="1:16" ht="15" customHeight="1">
      <c r="A4" s="248"/>
      <c r="B4" s="157"/>
      <c r="C4" s="157"/>
      <c r="D4" s="157"/>
      <c r="E4" s="158" t="str">
        <f ca="1">INDEX('Criteri Accettazione'!$M$3:$O$6,MATCH(E5,'Criteri Accettazione'!$L$3:'Criteri Accettazione'!$L$3:$L$6,-1),1)</f>
        <v>J</v>
      </c>
      <c r="F4" s="158" t="str">
        <f ca="1">INDEX('Criteri Accettazione'!$M$3:$O$6,MATCH(F5,'Criteri Accettazione'!$L$3:'Criteri Accettazione'!$L$3:$L$6,-1),2)</f>
        <v>J</v>
      </c>
      <c r="G4" s="158" t="str">
        <f ca="1">INDEX('Criteri Accettazione'!$M$3:$O$6,MATCH(G5,'Criteri Accettazione'!$L$3:'Criteri Accettazione'!$L$3:$L$6,-1),3)</f>
        <v>J</v>
      </c>
      <c r="H4" s="157"/>
      <c r="I4" s="157"/>
      <c r="J4" s="157"/>
      <c r="K4" s="159">
        <f ca="1">IFERROR(K5/J5,0)</f>
        <v>0</v>
      </c>
      <c r="L4" s="158" t="str">
        <f ca="1">INDEX('Criteri Accettazione'!$Q$12:$R$14,MATCH(K4,'Criteri Accettazione'!$Q$12:$Q$14,-1),2)</f>
        <v>L</v>
      </c>
      <c r="M4" s="165"/>
      <c r="N4" s="182" t="s">
        <v>123</v>
      </c>
      <c r="O4" s="169">
        <v>0</v>
      </c>
      <c r="P4" s="167"/>
    </row>
    <row r="5" spans="1:16" ht="15.75">
      <c r="A5" s="160" t="s">
        <v>124</v>
      </c>
      <c r="B5" s="161">
        <f ca="1">SUM(OFFSET(B7,0,0,COUNTA(B7:B195),1))</f>
        <v>0</v>
      </c>
      <c r="C5" s="161">
        <f t="shared" ref="C5:I5" ca="1" si="0">SUM(OFFSET(C7,0,0,COUNTA(C7:C195),1))</f>
        <v>0</v>
      </c>
      <c r="D5" s="161">
        <f t="shared" ca="1" si="0"/>
        <v>0</v>
      </c>
      <c r="E5" s="161">
        <f t="shared" ca="1" si="0"/>
        <v>0</v>
      </c>
      <c r="F5" s="161">
        <f t="shared" ca="1" si="0"/>
        <v>0</v>
      </c>
      <c r="G5" s="162">
        <f t="shared" ca="1" si="0"/>
        <v>0</v>
      </c>
      <c r="H5" s="162">
        <f t="shared" ca="1" si="0"/>
        <v>0</v>
      </c>
      <c r="I5" s="161">
        <f t="shared" ca="1" si="0"/>
        <v>0</v>
      </c>
      <c r="J5" s="163">
        <f ca="1">+B5-I5</f>
        <v>0</v>
      </c>
      <c r="K5" s="250">
        <f ca="1">D5+E5+F5+G5+H5</f>
        <v>0</v>
      </c>
      <c r="L5" s="250"/>
      <c r="M5" s="165"/>
      <c r="N5" s="183" t="s">
        <v>125</v>
      </c>
      <c r="O5" s="181">
        <v>0</v>
      </c>
      <c r="P5" s="167"/>
    </row>
    <row r="6" spans="1:16" ht="43.5" customHeight="1" thickBot="1">
      <c r="A6" s="171" t="s">
        <v>126</v>
      </c>
      <c r="B6" s="172" t="s">
        <v>127</v>
      </c>
      <c r="C6" s="173" t="s">
        <v>128</v>
      </c>
      <c r="D6" s="174" t="s">
        <v>93</v>
      </c>
      <c r="E6" s="175" t="s">
        <v>129</v>
      </c>
      <c r="F6" s="176" t="s">
        <v>130</v>
      </c>
      <c r="G6" s="177" t="s">
        <v>131</v>
      </c>
      <c r="H6" s="178" t="s">
        <v>109</v>
      </c>
      <c r="I6" s="179" t="s">
        <v>112</v>
      </c>
      <c r="J6" s="180" t="s">
        <v>132</v>
      </c>
      <c r="K6" s="249" t="s">
        <v>133</v>
      </c>
      <c r="L6" s="249"/>
      <c r="M6" s="164"/>
      <c r="N6" s="164"/>
      <c r="O6" s="164"/>
      <c r="P6" s="167"/>
    </row>
    <row r="7" spans="1:16" ht="15">
      <c r="A7" t="s">
        <v>134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/>
      <c r="K7"/>
      <c r="L7" s="166"/>
      <c r="M7" s="166"/>
      <c r="N7" s="166"/>
      <c r="O7" s="166"/>
      <c r="P7" s="167"/>
    </row>
    <row r="8" spans="1:16" ht="15">
      <c r="A8" t="s">
        <v>135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/>
      <c r="K8"/>
      <c r="L8" s="181"/>
      <c r="M8" s="166"/>
      <c r="N8" s="166"/>
      <c r="O8" s="166"/>
      <c r="P8" s="167"/>
    </row>
    <row r="9" spans="1:16" ht="15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66"/>
      <c r="M9" s="166"/>
      <c r="N9" s="166"/>
      <c r="O9" s="166"/>
      <c r="P9" s="167"/>
    </row>
    <row r="10" spans="1:16" ht="1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9"/>
      <c r="M10" s="169"/>
      <c r="N10" s="169"/>
      <c r="O10" s="169"/>
      <c r="P10" s="170"/>
    </row>
    <row r="11" spans="1:16" ht="1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6" ht="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6" ht="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6" ht="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6" ht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40" spans="3:10">
      <c r="C40" s="3"/>
      <c r="D40" s="3"/>
      <c r="E40" s="3"/>
      <c r="F40" s="3"/>
      <c r="H40" s="3"/>
      <c r="I40" s="3"/>
      <c r="J40" s="3"/>
    </row>
    <row r="41" spans="3:10">
      <c r="C41" s="3"/>
      <c r="D41" s="3"/>
      <c r="E41" s="3"/>
      <c r="F41" s="3"/>
      <c r="H41" s="3"/>
      <c r="I41" s="3"/>
      <c r="J41" s="3"/>
    </row>
    <row r="42" spans="3:10">
      <c r="C42" s="3"/>
      <c r="D42" s="3"/>
      <c r="E42" s="3"/>
      <c r="F42" s="3"/>
      <c r="H42" s="3"/>
      <c r="I42" s="3"/>
      <c r="J42" s="3"/>
    </row>
    <row r="43" spans="3:10">
      <c r="C43" s="3"/>
      <c r="D43" s="3"/>
      <c r="E43" s="3"/>
      <c r="F43" s="3"/>
      <c r="H43" s="3"/>
      <c r="I43" s="3"/>
      <c r="J43" s="3"/>
    </row>
    <row r="44" spans="3:10">
      <c r="C44" s="3"/>
      <c r="D44" s="3"/>
      <c r="E44" s="3"/>
      <c r="F44" s="3"/>
      <c r="H44" s="3"/>
      <c r="I44" s="3"/>
      <c r="J44" s="3"/>
    </row>
    <row r="45" spans="3:10">
      <c r="C45" s="3"/>
      <c r="D45" s="3"/>
      <c r="E45" s="3"/>
      <c r="F45" s="3"/>
      <c r="H45" s="3"/>
      <c r="I45" s="3"/>
      <c r="J45" s="3"/>
    </row>
    <row r="46" spans="3:10">
      <c r="C46" s="3"/>
      <c r="D46" s="3"/>
      <c r="E46" s="3"/>
      <c r="F46" s="3"/>
      <c r="H46" s="3"/>
      <c r="I46" s="3"/>
      <c r="J46" s="3"/>
    </row>
    <row r="47" spans="3:10">
      <c r="C47" s="3"/>
      <c r="D47" s="3"/>
      <c r="E47" s="3"/>
      <c r="F47" s="3"/>
      <c r="H47" s="3"/>
      <c r="I47" s="3"/>
      <c r="J47" s="3"/>
    </row>
    <row r="48" spans="3:10">
      <c r="C48" s="3"/>
      <c r="D48" s="3"/>
      <c r="E48" s="3"/>
      <c r="F48" s="3"/>
      <c r="H48" s="3"/>
      <c r="I48" s="3"/>
      <c r="J48" s="3"/>
    </row>
    <row r="49" spans="3:10">
      <c r="C49" s="3"/>
      <c r="D49" s="3"/>
      <c r="E49" s="3"/>
      <c r="F49" s="3"/>
      <c r="H49" s="3"/>
      <c r="I49" s="3"/>
      <c r="J49" s="3"/>
    </row>
    <row r="50" spans="3:10">
      <c r="C50" s="3"/>
      <c r="D50" s="3"/>
      <c r="E50" s="3"/>
      <c r="F50" s="3"/>
      <c r="H50" s="3"/>
      <c r="I50" s="3"/>
      <c r="J50" s="3"/>
    </row>
    <row r="51" spans="3:10">
      <c r="C51" s="3"/>
      <c r="D51" s="3"/>
      <c r="E51" s="3"/>
      <c r="F51" s="3"/>
      <c r="H51" s="3"/>
      <c r="I51" s="3"/>
      <c r="J51" s="3"/>
    </row>
    <row r="52" spans="3:10">
      <c r="C52" s="3"/>
      <c r="D52" s="3"/>
      <c r="E52" s="3"/>
      <c r="F52" s="3"/>
      <c r="H52" s="3"/>
      <c r="I52" s="3"/>
      <c r="J52" s="3"/>
    </row>
    <row r="53" spans="3:10">
      <c r="C53" s="3"/>
      <c r="D53" s="3"/>
      <c r="E53" s="3"/>
      <c r="F53" s="3"/>
      <c r="H53" s="3"/>
      <c r="I53" s="3"/>
      <c r="J53" s="3"/>
    </row>
    <row r="54" spans="3:10">
      <c r="C54" s="3"/>
      <c r="D54" s="3"/>
      <c r="E54" s="3"/>
      <c r="F54" s="3"/>
      <c r="H54" s="3"/>
      <c r="I54" s="3"/>
      <c r="J54" s="3"/>
    </row>
    <row r="55" spans="3:10">
      <c r="C55" s="3"/>
      <c r="D55" s="3"/>
      <c r="E55" s="3"/>
      <c r="F55" s="3"/>
      <c r="H55" s="3"/>
      <c r="I55" s="3"/>
      <c r="J55" s="3"/>
    </row>
    <row r="56" spans="3:10">
      <c r="C56" s="3"/>
      <c r="D56" s="3"/>
      <c r="E56" s="3"/>
      <c r="F56" s="3"/>
      <c r="H56" s="3"/>
      <c r="I56" s="3"/>
      <c r="J56" s="3"/>
    </row>
    <row r="57" spans="3:10">
      <c r="C57" s="3"/>
      <c r="D57" s="3"/>
      <c r="E57" s="3"/>
      <c r="F57" s="3"/>
      <c r="H57" s="3"/>
      <c r="I57" s="3"/>
      <c r="J57" s="3"/>
    </row>
    <row r="58" spans="3:10">
      <c r="C58" s="3"/>
      <c r="D58" s="3"/>
      <c r="E58" s="3"/>
      <c r="F58" s="3"/>
      <c r="H58" s="3"/>
      <c r="I58" s="3"/>
      <c r="J58" s="3"/>
    </row>
    <row r="59" spans="3:10">
      <c r="C59" s="3"/>
      <c r="D59" s="3"/>
      <c r="E59" s="3"/>
      <c r="F59" s="3"/>
      <c r="H59" s="3"/>
      <c r="I59" s="3"/>
      <c r="J59" s="3"/>
    </row>
    <row r="60" spans="3:10">
      <c r="C60" s="3"/>
      <c r="D60" s="3"/>
      <c r="E60" s="3"/>
      <c r="F60" s="3"/>
      <c r="H60" s="3"/>
      <c r="I60" s="3"/>
      <c r="J60" s="3"/>
    </row>
  </sheetData>
  <sheetProtection formatCells="0" formatColumns="0" formatRows="0"/>
  <mergeCells count="6">
    <mergeCell ref="A2:A4"/>
    <mergeCell ref="K6:L6"/>
    <mergeCell ref="K5:L5"/>
    <mergeCell ref="J2:L2"/>
    <mergeCell ref="J1:L1"/>
    <mergeCell ref="J3:L3"/>
  </mergeCells>
  <conditionalFormatting sqref="L4">
    <cfRule type="cellIs" dxfId="44" priority="7" operator="equal">
      <formula>"K"</formula>
    </cfRule>
    <cfRule type="cellIs" dxfId="43" priority="8" operator="equal">
      <formula>"L"</formula>
    </cfRule>
    <cfRule type="cellIs" dxfId="42" priority="9" operator="equal">
      <formula>"J"</formula>
    </cfRule>
  </conditionalFormatting>
  <conditionalFormatting sqref="E4:G4">
    <cfRule type="cellIs" dxfId="41" priority="4" operator="equal">
      <formula>"K"</formula>
    </cfRule>
    <cfRule type="cellIs" dxfId="40" priority="5" operator="equal">
      <formula>"L"</formula>
    </cfRule>
    <cfRule type="cellIs" dxfId="39" priority="6" operator="equal">
      <formula>"J"</formula>
    </cfRule>
  </conditionalFormatting>
  <conditionalFormatting sqref="J2:J3">
    <cfRule type="cellIs" dxfId="38" priority="1" operator="equal">
      <formula>"K"</formula>
    </cfRule>
    <cfRule type="cellIs" dxfId="37" priority="2" operator="equal">
      <formula>"L"</formula>
    </cfRule>
    <cfRule type="cellIs" dxfId="36" priority="3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94" fitToHeight="0" orientation="landscape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_scruscotto">
                <anchor moveWithCells="1" sizeWithCells="1">
                  <from>
                    <xdr:col>0</xdr:col>
                    <xdr:colOff>600075</xdr:colOff>
                    <xdr:row>1</xdr:row>
                    <xdr:rowOff>142875</xdr:rowOff>
                  </from>
                  <to>
                    <xdr:col>0</xdr:col>
                    <xdr:colOff>2009775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"/>
  <dimension ref="A1:AC119"/>
  <sheetViews>
    <sheetView showGridLines="0" tabSelected="1" zoomScaleNormal="100" workbookViewId="0">
      <pane ySplit="3" topLeftCell="A29" activePane="bottomLeft" state="frozen"/>
      <selection pane="bottomLeft" activeCell="O8" sqref="O8"/>
    </sheetView>
  </sheetViews>
  <sheetFormatPr defaultColWidth="9.42578125" defaultRowHeight="15"/>
  <cols>
    <col min="1" max="1" width="6.42578125" style="193" customWidth="1"/>
    <col min="2" max="2" width="11.42578125" style="194" customWidth="1"/>
    <col min="3" max="3" width="7.5703125" style="195" customWidth="1"/>
    <col min="4" max="4" width="11" style="195" customWidth="1"/>
    <col min="5" max="5" width="26.5703125" style="209" customWidth="1"/>
    <col min="6" max="6" width="15.85546875" style="195" customWidth="1"/>
    <col min="7" max="7" width="9.42578125" style="195" bestFit="1" customWidth="1"/>
    <col min="8" max="8" width="15" style="211" customWidth="1"/>
    <col min="9" max="9" width="21.140625" style="211" customWidth="1"/>
    <col min="10" max="10" width="24.42578125" style="211" customWidth="1"/>
    <col min="11" max="11" width="9.42578125" style="211"/>
    <col min="12" max="12" width="21.5703125" style="211" customWidth="1"/>
    <col min="13" max="13" width="25" style="211" customWidth="1"/>
    <col min="14" max="15" width="24.7109375" style="211" customWidth="1"/>
    <col min="16" max="16" width="12.85546875" style="211" bestFit="1" customWidth="1"/>
    <col min="17" max="17" width="9.42578125" style="211"/>
    <col min="18" max="18" width="32" style="211" customWidth="1"/>
    <col min="19" max="16384" width="9.42578125" style="211"/>
  </cols>
  <sheetData>
    <row r="1" spans="1:29" s="215" customFormat="1" ht="21" customHeight="1">
      <c r="A1" s="254" t="s">
        <v>136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12">
        <f>COUNTIFS($U$4:$U$20034,"B",$P$4:$P$20034,"OK")</f>
        <v>0</v>
      </c>
      <c r="Y1" s="212">
        <f>COUNTIFS($U$4:$U$20034,"o",$P$4:$P$20034,"OK")</f>
        <v>0</v>
      </c>
      <c r="Z1" s="213"/>
      <c r="AA1" s="214"/>
      <c r="AB1" s="214"/>
      <c r="AC1" s="214"/>
    </row>
    <row r="2" spans="1:29" s="215" customFormat="1" ht="61.5" customHeight="1">
      <c r="A2" s="256" t="s">
        <v>137</v>
      </c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8"/>
      <c r="Z2" s="198"/>
      <c r="AA2" s="213"/>
      <c r="AB2" s="214"/>
      <c r="AC2" s="214"/>
    </row>
    <row r="3" spans="1:29" s="215" customFormat="1" ht="45.75">
      <c r="A3" s="203" t="s">
        <v>138</v>
      </c>
      <c r="B3" s="204" t="s">
        <v>19</v>
      </c>
      <c r="C3" s="204" t="s">
        <v>139</v>
      </c>
      <c r="D3" s="204" t="s">
        <v>140</v>
      </c>
      <c r="E3" s="203" t="s">
        <v>141</v>
      </c>
      <c r="F3" s="204" t="s">
        <v>142</v>
      </c>
      <c r="G3" s="204" t="s">
        <v>143</v>
      </c>
      <c r="H3" s="203" t="s">
        <v>38</v>
      </c>
      <c r="I3" s="204" t="s">
        <v>41</v>
      </c>
      <c r="J3" s="204" t="s">
        <v>44</v>
      </c>
      <c r="K3" s="204" t="s">
        <v>144</v>
      </c>
      <c r="L3" s="204" t="s">
        <v>145</v>
      </c>
      <c r="M3" s="204" t="s">
        <v>54</v>
      </c>
      <c r="N3" s="204" t="s">
        <v>57</v>
      </c>
      <c r="O3" s="204" t="s">
        <v>60</v>
      </c>
      <c r="P3" s="204" t="s">
        <v>146</v>
      </c>
      <c r="Q3" s="204" t="s">
        <v>147</v>
      </c>
      <c r="R3" s="204" t="s">
        <v>70</v>
      </c>
      <c r="S3" s="204" t="s">
        <v>72</v>
      </c>
      <c r="T3" s="204" t="s">
        <v>75</v>
      </c>
      <c r="U3" s="204" t="s">
        <v>148</v>
      </c>
      <c r="V3" s="204" t="s">
        <v>81</v>
      </c>
      <c r="W3" s="204" t="s">
        <v>149</v>
      </c>
      <c r="X3" s="204" t="s">
        <v>85</v>
      </c>
      <c r="Y3" s="204" t="s">
        <v>88</v>
      </c>
      <c r="Z3" s="198"/>
      <c r="AA3" s="198"/>
      <c r="AB3" s="198"/>
      <c r="AC3" s="198"/>
    </row>
    <row r="4" spans="1:29" ht="33.75">
      <c r="A4" s="200">
        <v>1</v>
      </c>
      <c r="B4" s="194" t="s">
        <v>150</v>
      </c>
      <c r="C4" s="195" t="s">
        <v>151</v>
      </c>
      <c r="D4" s="195" t="s">
        <v>152</v>
      </c>
      <c r="E4" s="209" t="s">
        <v>153</v>
      </c>
      <c r="F4" s="195" t="s">
        <v>154</v>
      </c>
      <c r="G4" s="195" t="s">
        <v>155</v>
      </c>
      <c r="H4" s="196" t="s">
        <v>156</v>
      </c>
      <c r="I4" s="196" t="s">
        <v>157</v>
      </c>
      <c r="J4" s="196" t="s">
        <v>158</v>
      </c>
      <c r="K4" s="196" t="s">
        <v>159</v>
      </c>
      <c r="L4" s="196"/>
      <c r="M4" s="216" t="s">
        <v>160</v>
      </c>
      <c r="N4" s="196"/>
      <c r="O4" s="196" t="s">
        <v>161</v>
      </c>
      <c r="P4" s="196"/>
      <c r="Q4" s="196">
        <v>791920</v>
      </c>
      <c r="R4" s="196"/>
      <c r="S4" s="196"/>
      <c r="T4" s="196"/>
      <c r="U4" s="196" t="s">
        <v>162</v>
      </c>
      <c r="V4" s="201"/>
      <c r="W4" s="202"/>
      <c r="X4" s="201"/>
      <c r="Y4" s="201"/>
      <c r="Z4" s="199"/>
      <c r="AA4" s="199"/>
      <c r="AB4" s="210"/>
      <c r="AC4" s="210"/>
    </row>
    <row r="5" spans="1:29" ht="33.75">
      <c r="A5" s="200">
        <v>2</v>
      </c>
      <c r="B5" s="194" t="s">
        <v>150</v>
      </c>
      <c r="C5" s="195" t="s">
        <v>151</v>
      </c>
      <c r="D5" s="195" t="s">
        <v>152</v>
      </c>
      <c r="E5" s="209" t="s">
        <v>153</v>
      </c>
      <c r="F5" s="195" t="s">
        <v>154</v>
      </c>
      <c r="G5" s="195" t="s">
        <v>155</v>
      </c>
      <c r="H5" s="196" t="s">
        <v>156</v>
      </c>
      <c r="I5" s="196" t="s">
        <v>157</v>
      </c>
      <c r="J5" s="196" t="s">
        <v>163</v>
      </c>
      <c r="K5" s="196" t="s">
        <v>159</v>
      </c>
      <c r="L5" s="196"/>
      <c r="M5" s="216" t="s">
        <v>160</v>
      </c>
      <c r="N5" s="196"/>
      <c r="O5" s="196" t="s">
        <v>164</v>
      </c>
      <c r="P5" s="196"/>
      <c r="Q5" s="196">
        <v>791920</v>
      </c>
      <c r="R5" s="196"/>
      <c r="S5" s="196"/>
      <c r="T5" s="196"/>
      <c r="U5" s="196" t="s">
        <v>162</v>
      </c>
      <c r="V5" s="201"/>
      <c r="W5" s="202"/>
      <c r="X5" s="201"/>
      <c r="Y5" s="201"/>
      <c r="Z5" s="199"/>
      <c r="AA5" s="199"/>
      <c r="AB5" s="210"/>
      <c r="AC5" s="210"/>
    </row>
    <row r="6" spans="1:29" ht="33.75">
      <c r="A6" s="200">
        <v>3</v>
      </c>
      <c r="B6" s="194" t="s">
        <v>150</v>
      </c>
      <c r="C6" s="195" t="s">
        <v>151</v>
      </c>
      <c r="D6" s="195" t="s">
        <v>152</v>
      </c>
      <c r="E6" s="209" t="s">
        <v>153</v>
      </c>
      <c r="F6" s="195" t="s">
        <v>154</v>
      </c>
      <c r="G6" s="195" t="s">
        <v>155</v>
      </c>
      <c r="H6" s="196" t="s">
        <v>156</v>
      </c>
      <c r="I6" s="196" t="s">
        <v>157</v>
      </c>
      <c r="J6" s="196" t="s">
        <v>165</v>
      </c>
      <c r="K6" s="196" t="s">
        <v>159</v>
      </c>
      <c r="L6" s="196"/>
      <c r="M6" s="216" t="s">
        <v>160</v>
      </c>
      <c r="N6" s="196"/>
      <c r="O6" s="196" t="s">
        <v>166</v>
      </c>
      <c r="P6" s="196"/>
      <c r="Q6" s="196">
        <v>791920</v>
      </c>
      <c r="R6" s="196"/>
      <c r="S6" s="196"/>
      <c r="T6" s="196"/>
      <c r="U6" s="196" t="s">
        <v>162</v>
      </c>
      <c r="V6" s="201"/>
      <c r="W6" s="202"/>
      <c r="X6" s="201"/>
      <c r="Y6" s="201"/>
      <c r="Z6" s="199"/>
      <c r="AA6" s="199"/>
      <c r="AB6" s="210"/>
      <c r="AC6" s="210"/>
    </row>
    <row r="7" spans="1:29" ht="33.75">
      <c r="A7" s="200">
        <v>4</v>
      </c>
      <c r="B7" s="194" t="s">
        <v>150</v>
      </c>
      <c r="C7" s="195" t="s">
        <v>151</v>
      </c>
      <c r="D7" s="195" t="s">
        <v>152</v>
      </c>
      <c r="E7" s="209" t="s">
        <v>153</v>
      </c>
      <c r="F7" s="195" t="s">
        <v>154</v>
      </c>
      <c r="G7" s="195" t="s">
        <v>155</v>
      </c>
      <c r="H7" s="196" t="s">
        <v>156</v>
      </c>
      <c r="I7" s="196" t="s">
        <v>157</v>
      </c>
      <c r="J7" s="196" t="s">
        <v>167</v>
      </c>
      <c r="K7" s="196" t="s">
        <v>159</v>
      </c>
      <c r="L7" s="196"/>
      <c r="M7" s="216" t="s">
        <v>160</v>
      </c>
      <c r="N7" s="196"/>
      <c r="O7" s="196" t="s">
        <v>168</v>
      </c>
      <c r="P7" s="196"/>
      <c r="Q7" s="196">
        <v>791920</v>
      </c>
      <c r="R7" s="196"/>
      <c r="S7" s="196"/>
      <c r="T7" s="196"/>
      <c r="U7" s="196" t="s">
        <v>162</v>
      </c>
      <c r="V7" s="201"/>
      <c r="W7" s="202"/>
      <c r="X7" s="201"/>
      <c r="Y7" s="201"/>
      <c r="Z7" s="199"/>
      <c r="AA7" s="199"/>
      <c r="AB7" s="210"/>
      <c r="AC7" s="210"/>
    </row>
    <row r="8" spans="1:29" ht="33.75">
      <c r="A8" s="200">
        <v>5</v>
      </c>
      <c r="B8" s="194" t="s">
        <v>150</v>
      </c>
      <c r="C8" s="195" t="s">
        <v>151</v>
      </c>
      <c r="D8" s="195" t="s">
        <v>152</v>
      </c>
      <c r="E8" s="209" t="s">
        <v>153</v>
      </c>
      <c r="F8" s="195" t="s">
        <v>154</v>
      </c>
      <c r="G8" s="195" t="s">
        <v>155</v>
      </c>
      <c r="H8" s="196" t="s">
        <v>156</v>
      </c>
      <c r="I8" s="196" t="s">
        <v>157</v>
      </c>
      <c r="J8" s="196" t="s">
        <v>169</v>
      </c>
      <c r="K8" s="196" t="s">
        <v>159</v>
      </c>
      <c r="L8" s="196"/>
      <c r="M8" s="216" t="s">
        <v>160</v>
      </c>
      <c r="N8" s="196"/>
      <c r="O8" s="196" t="s">
        <v>170</v>
      </c>
      <c r="P8" s="196"/>
      <c r="Q8" s="196">
        <v>791920</v>
      </c>
      <c r="R8" s="196"/>
      <c r="S8" s="196"/>
      <c r="T8" s="196"/>
      <c r="U8" s="196" t="s">
        <v>162</v>
      </c>
      <c r="V8" s="201"/>
      <c r="W8" s="202"/>
      <c r="X8" s="201"/>
      <c r="Y8" s="201"/>
      <c r="Z8" s="199"/>
      <c r="AA8" s="199"/>
      <c r="AB8" s="210"/>
      <c r="AC8" s="210"/>
    </row>
    <row r="9" spans="1:29" ht="33.75">
      <c r="A9" s="200">
        <v>6</v>
      </c>
      <c r="B9" s="194" t="s">
        <v>150</v>
      </c>
      <c r="C9" s="195" t="s">
        <v>151</v>
      </c>
      <c r="D9" s="195" t="s">
        <v>152</v>
      </c>
      <c r="E9" s="209" t="s">
        <v>153</v>
      </c>
      <c r="F9" s="195" t="s">
        <v>154</v>
      </c>
      <c r="G9" s="195" t="s">
        <v>155</v>
      </c>
      <c r="H9" s="196" t="s">
        <v>156</v>
      </c>
      <c r="I9" s="196" t="s">
        <v>157</v>
      </c>
      <c r="J9" s="196" t="s">
        <v>158</v>
      </c>
      <c r="K9" s="196" t="s">
        <v>159</v>
      </c>
      <c r="L9" s="196" t="s">
        <v>171</v>
      </c>
      <c r="M9" s="216" t="s">
        <v>160</v>
      </c>
      <c r="N9" s="196" t="s">
        <v>172</v>
      </c>
      <c r="O9" s="196" t="s">
        <v>173</v>
      </c>
      <c r="P9" s="196"/>
      <c r="Q9" s="196">
        <v>791920</v>
      </c>
      <c r="R9" s="196"/>
      <c r="S9" s="196"/>
      <c r="T9" s="196"/>
      <c r="U9" s="196" t="s">
        <v>162</v>
      </c>
      <c r="V9" s="201"/>
      <c r="W9" s="202"/>
      <c r="X9" s="201"/>
      <c r="Y9" s="201"/>
      <c r="Z9" s="199"/>
      <c r="AA9" s="199"/>
      <c r="AB9" s="210"/>
      <c r="AC9" s="210"/>
    </row>
    <row r="10" spans="1:29" ht="33.75">
      <c r="A10" s="200">
        <v>7</v>
      </c>
      <c r="B10" s="194" t="s">
        <v>150</v>
      </c>
      <c r="C10" s="195" t="s">
        <v>151</v>
      </c>
      <c r="D10" s="195" t="s">
        <v>152</v>
      </c>
      <c r="E10" s="209" t="s">
        <v>153</v>
      </c>
      <c r="F10" s="195" t="s">
        <v>154</v>
      </c>
      <c r="G10" s="195" t="s">
        <v>155</v>
      </c>
      <c r="H10" s="196" t="s">
        <v>156</v>
      </c>
      <c r="I10" s="196" t="s">
        <v>157</v>
      </c>
      <c r="J10" s="196" t="s">
        <v>158</v>
      </c>
      <c r="K10" s="196" t="s">
        <v>159</v>
      </c>
      <c r="L10" s="196" t="s">
        <v>174</v>
      </c>
      <c r="M10" s="216" t="s">
        <v>160</v>
      </c>
      <c r="N10" s="196" t="s">
        <v>172</v>
      </c>
      <c r="O10" s="196" t="s">
        <v>173</v>
      </c>
      <c r="P10" s="196"/>
      <c r="Q10" s="196">
        <v>791920</v>
      </c>
      <c r="R10" s="196"/>
      <c r="S10" s="196"/>
      <c r="T10" s="196"/>
      <c r="U10" s="196" t="s">
        <v>162</v>
      </c>
      <c r="V10" s="196"/>
      <c r="W10" s="196"/>
      <c r="X10" s="196"/>
      <c r="Y10" s="196"/>
      <c r="Z10" s="199"/>
      <c r="AA10" s="199"/>
      <c r="AB10" s="210"/>
      <c r="AC10" s="210"/>
    </row>
    <row r="11" spans="1:29" ht="33.75">
      <c r="A11" s="200">
        <v>8</v>
      </c>
      <c r="B11" s="194" t="s">
        <v>150</v>
      </c>
      <c r="C11" s="195" t="s">
        <v>151</v>
      </c>
      <c r="D11" s="195" t="s">
        <v>152</v>
      </c>
      <c r="E11" s="209" t="s">
        <v>153</v>
      </c>
      <c r="F11" s="195" t="s">
        <v>154</v>
      </c>
      <c r="G11" s="195" t="s">
        <v>155</v>
      </c>
      <c r="H11" s="196" t="s">
        <v>156</v>
      </c>
      <c r="I11" s="196" t="s">
        <v>157</v>
      </c>
      <c r="J11" s="196" t="s">
        <v>158</v>
      </c>
      <c r="K11" s="196" t="s">
        <v>159</v>
      </c>
      <c r="L11" s="196" t="s">
        <v>175</v>
      </c>
      <c r="M11" s="216" t="s">
        <v>160</v>
      </c>
      <c r="N11" s="196" t="s">
        <v>172</v>
      </c>
      <c r="O11" s="196" t="s">
        <v>173</v>
      </c>
      <c r="P11" s="196"/>
      <c r="Q11" s="196">
        <v>791920</v>
      </c>
      <c r="R11" s="196"/>
      <c r="S11" s="196"/>
      <c r="T11" s="196"/>
      <c r="U11" s="196" t="s">
        <v>162</v>
      </c>
      <c r="V11" s="196"/>
      <c r="W11" s="196"/>
      <c r="X11" s="196"/>
      <c r="Y11" s="196"/>
      <c r="Z11" s="199"/>
      <c r="AA11" s="199"/>
      <c r="AB11" s="210"/>
      <c r="AC11" s="210"/>
    </row>
    <row r="12" spans="1:29" ht="56.25">
      <c r="A12" s="200">
        <v>9</v>
      </c>
      <c r="B12" s="194" t="s">
        <v>150</v>
      </c>
      <c r="C12" s="195" t="s">
        <v>151</v>
      </c>
      <c r="D12" s="195" t="s">
        <v>152</v>
      </c>
      <c r="E12" s="209" t="s">
        <v>153</v>
      </c>
      <c r="F12" s="195" t="s">
        <v>154</v>
      </c>
      <c r="G12" s="195" t="s">
        <v>155</v>
      </c>
      <c r="H12" s="196" t="s">
        <v>156</v>
      </c>
      <c r="I12" s="196" t="s">
        <v>157</v>
      </c>
      <c r="J12" s="196" t="s">
        <v>158</v>
      </c>
      <c r="K12" s="196" t="s">
        <v>159</v>
      </c>
      <c r="L12" s="196" t="s">
        <v>176</v>
      </c>
      <c r="M12" s="216" t="s">
        <v>177</v>
      </c>
      <c r="N12" s="196" t="s">
        <v>172</v>
      </c>
      <c r="O12" s="196" t="s">
        <v>178</v>
      </c>
      <c r="P12" s="196"/>
      <c r="Q12" s="196">
        <v>791920</v>
      </c>
      <c r="R12" s="196"/>
      <c r="S12" s="196"/>
      <c r="T12" s="196"/>
      <c r="U12" s="196" t="s">
        <v>162</v>
      </c>
      <c r="V12" s="196"/>
      <c r="W12" s="196"/>
      <c r="X12" s="196"/>
      <c r="Y12" s="196"/>
      <c r="Z12" s="199"/>
      <c r="AA12" s="199"/>
      <c r="AB12" s="210"/>
      <c r="AC12" s="210"/>
    </row>
    <row r="13" spans="1:29" ht="56.25">
      <c r="A13" s="200">
        <v>10</v>
      </c>
      <c r="B13" s="194" t="s">
        <v>150</v>
      </c>
      <c r="C13" s="195" t="s">
        <v>151</v>
      </c>
      <c r="D13" s="195" t="s">
        <v>152</v>
      </c>
      <c r="E13" s="209" t="s">
        <v>153</v>
      </c>
      <c r="F13" s="195" t="s">
        <v>154</v>
      </c>
      <c r="G13" s="195" t="s">
        <v>155</v>
      </c>
      <c r="H13" s="196" t="s">
        <v>156</v>
      </c>
      <c r="I13" s="196" t="s">
        <v>157</v>
      </c>
      <c r="J13" s="196" t="s">
        <v>158</v>
      </c>
      <c r="K13" s="196" t="s">
        <v>159</v>
      </c>
      <c r="L13" s="196" t="s">
        <v>176</v>
      </c>
      <c r="M13" s="216" t="s">
        <v>179</v>
      </c>
      <c r="N13" s="196" t="s">
        <v>172</v>
      </c>
      <c r="O13" s="196" t="s">
        <v>180</v>
      </c>
      <c r="P13" s="196"/>
      <c r="Q13" s="196">
        <v>791920</v>
      </c>
      <c r="R13" s="196"/>
      <c r="S13" s="196"/>
      <c r="T13" s="196"/>
      <c r="U13" s="196" t="s">
        <v>162</v>
      </c>
      <c r="V13" s="196"/>
      <c r="W13" s="196"/>
      <c r="X13" s="196"/>
      <c r="Y13" s="196"/>
      <c r="Z13" s="199"/>
      <c r="AA13" s="199"/>
      <c r="AB13" s="210"/>
      <c r="AC13" s="210"/>
    </row>
    <row r="14" spans="1:29" ht="33.75">
      <c r="A14" s="200">
        <v>11</v>
      </c>
      <c r="B14" s="194" t="s">
        <v>150</v>
      </c>
      <c r="C14" s="195" t="s">
        <v>151</v>
      </c>
      <c r="D14" s="195" t="s">
        <v>152</v>
      </c>
      <c r="E14" s="209" t="s">
        <v>153</v>
      </c>
      <c r="F14" s="195" t="s">
        <v>154</v>
      </c>
      <c r="G14" s="195" t="s">
        <v>155</v>
      </c>
      <c r="H14" s="196" t="s">
        <v>156</v>
      </c>
      <c r="I14" s="196" t="s">
        <v>157</v>
      </c>
      <c r="J14" s="196" t="s">
        <v>158</v>
      </c>
      <c r="K14" s="196" t="s">
        <v>159</v>
      </c>
      <c r="L14" s="196" t="s">
        <v>171</v>
      </c>
      <c r="M14" s="216" t="s">
        <v>160</v>
      </c>
      <c r="N14" s="196" t="s">
        <v>181</v>
      </c>
      <c r="O14" s="196" t="s">
        <v>173</v>
      </c>
      <c r="P14" s="196"/>
      <c r="Q14" s="196">
        <v>791920</v>
      </c>
      <c r="R14" s="196"/>
      <c r="S14" s="196"/>
      <c r="T14" s="196"/>
      <c r="U14" s="196" t="s">
        <v>162</v>
      </c>
      <c r="V14" s="196"/>
      <c r="W14" s="196"/>
      <c r="X14" s="196"/>
      <c r="Y14" s="196"/>
      <c r="Z14" s="199"/>
      <c r="AA14" s="199"/>
      <c r="AB14" s="210"/>
      <c r="AC14" s="210"/>
    </row>
    <row r="15" spans="1:29" ht="33.75">
      <c r="A15" s="200">
        <v>12</v>
      </c>
      <c r="B15" s="194" t="s">
        <v>150</v>
      </c>
      <c r="C15" s="195" t="s">
        <v>151</v>
      </c>
      <c r="D15" s="195" t="s">
        <v>152</v>
      </c>
      <c r="E15" s="209" t="s">
        <v>153</v>
      </c>
      <c r="F15" s="195" t="s">
        <v>154</v>
      </c>
      <c r="G15" s="195" t="s">
        <v>155</v>
      </c>
      <c r="H15" s="196" t="s">
        <v>156</v>
      </c>
      <c r="I15" s="196" t="s">
        <v>157</v>
      </c>
      <c r="J15" s="196" t="s">
        <v>158</v>
      </c>
      <c r="K15" s="196" t="s">
        <v>159</v>
      </c>
      <c r="L15" s="196" t="s">
        <v>174</v>
      </c>
      <c r="M15" s="216" t="s">
        <v>160</v>
      </c>
      <c r="N15" s="196" t="s">
        <v>181</v>
      </c>
      <c r="O15" s="196" t="s">
        <v>173</v>
      </c>
      <c r="P15" s="196"/>
      <c r="Q15" s="196">
        <v>791920</v>
      </c>
      <c r="R15" s="196"/>
      <c r="S15" s="196"/>
      <c r="T15" s="196"/>
      <c r="U15" s="196" t="s">
        <v>162</v>
      </c>
      <c r="V15" s="196"/>
      <c r="W15" s="196"/>
      <c r="X15" s="196"/>
      <c r="Y15" s="196"/>
      <c r="Z15" s="199"/>
      <c r="AA15" s="199"/>
      <c r="AB15" s="210"/>
      <c r="AC15" s="210"/>
    </row>
    <row r="16" spans="1:29" ht="33.75">
      <c r="A16" s="200">
        <v>13</v>
      </c>
      <c r="B16" s="194" t="s">
        <v>150</v>
      </c>
      <c r="C16" s="195" t="s">
        <v>151</v>
      </c>
      <c r="D16" s="195" t="s">
        <v>152</v>
      </c>
      <c r="E16" s="209" t="s">
        <v>153</v>
      </c>
      <c r="F16" s="195" t="s">
        <v>154</v>
      </c>
      <c r="G16" s="195" t="s">
        <v>155</v>
      </c>
      <c r="H16" s="196" t="s">
        <v>156</v>
      </c>
      <c r="I16" s="196" t="s">
        <v>157</v>
      </c>
      <c r="J16" s="196" t="s">
        <v>158</v>
      </c>
      <c r="K16" s="196" t="s">
        <v>159</v>
      </c>
      <c r="L16" s="196" t="s">
        <v>175</v>
      </c>
      <c r="M16" s="216" t="s">
        <v>160</v>
      </c>
      <c r="N16" s="196" t="s">
        <v>181</v>
      </c>
      <c r="O16" s="196" t="s">
        <v>173</v>
      </c>
      <c r="P16" s="196"/>
      <c r="Q16" s="196">
        <v>791920</v>
      </c>
      <c r="R16" s="196"/>
      <c r="S16" s="196"/>
      <c r="T16" s="196"/>
      <c r="U16" s="196" t="s">
        <v>162</v>
      </c>
      <c r="V16" s="196"/>
      <c r="W16" s="196"/>
      <c r="X16" s="196"/>
      <c r="Y16" s="196"/>
      <c r="Z16" s="199"/>
      <c r="AA16" s="199"/>
      <c r="AB16" s="210"/>
      <c r="AC16" s="210"/>
    </row>
    <row r="17" spans="1:29" ht="56.25">
      <c r="A17" s="200">
        <v>14</v>
      </c>
      <c r="B17" s="194" t="s">
        <v>150</v>
      </c>
      <c r="C17" s="195" t="s">
        <v>151</v>
      </c>
      <c r="D17" s="195" t="s">
        <v>152</v>
      </c>
      <c r="E17" s="209" t="s">
        <v>153</v>
      </c>
      <c r="F17" s="195" t="s">
        <v>154</v>
      </c>
      <c r="G17" s="195" t="s">
        <v>155</v>
      </c>
      <c r="H17" s="196" t="s">
        <v>156</v>
      </c>
      <c r="I17" s="196" t="s">
        <v>157</v>
      </c>
      <c r="J17" s="196" t="s">
        <v>158</v>
      </c>
      <c r="K17" s="196" t="s">
        <v>159</v>
      </c>
      <c r="L17" s="196" t="s">
        <v>176</v>
      </c>
      <c r="M17" s="216" t="s">
        <v>177</v>
      </c>
      <c r="N17" s="196" t="s">
        <v>181</v>
      </c>
      <c r="O17" s="196" t="s">
        <v>178</v>
      </c>
      <c r="P17" s="196"/>
      <c r="Q17" s="196">
        <v>791920</v>
      </c>
      <c r="R17" s="196"/>
      <c r="S17" s="196"/>
      <c r="T17" s="196"/>
      <c r="U17" s="196" t="s">
        <v>162</v>
      </c>
      <c r="V17" s="196"/>
      <c r="W17" s="196"/>
      <c r="X17" s="196"/>
      <c r="Y17" s="196"/>
      <c r="Z17" s="199"/>
      <c r="AA17" s="199"/>
      <c r="AB17" s="210"/>
      <c r="AC17" s="210"/>
    </row>
    <row r="18" spans="1:29" ht="56.25">
      <c r="A18" s="200">
        <v>15</v>
      </c>
      <c r="B18" s="194" t="s">
        <v>150</v>
      </c>
      <c r="C18" s="195" t="s">
        <v>151</v>
      </c>
      <c r="D18" s="195" t="s">
        <v>152</v>
      </c>
      <c r="E18" s="209" t="s">
        <v>153</v>
      </c>
      <c r="F18" s="195" t="s">
        <v>154</v>
      </c>
      <c r="G18" s="195" t="s">
        <v>155</v>
      </c>
      <c r="H18" s="196" t="s">
        <v>156</v>
      </c>
      <c r="I18" s="196" t="s">
        <v>157</v>
      </c>
      <c r="J18" s="196" t="s">
        <v>158</v>
      </c>
      <c r="K18" s="196" t="s">
        <v>159</v>
      </c>
      <c r="L18" s="196" t="s">
        <v>176</v>
      </c>
      <c r="M18" s="216" t="s">
        <v>179</v>
      </c>
      <c r="N18" s="196" t="s">
        <v>181</v>
      </c>
      <c r="O18" s="196" t="s">
        <v>180</v>
      </c>
      <c r="P18" s="196"/>
      <c r="Q18" s="196">
        <v>791920</v>
      </c>
      <c r="R18" s="196"/>
      <c r="S18" s="196"/>
      <c r="T18" s="196"/>
      <c r="U18" s="196" t="s">
        <v>162</v>
      </c>
      <c r="V18" s="196"/>
      <c r="W18" s="196"/>
      <c r="X18" s="196"/>
      <c r="Y18" s="196"/>
      <c r="Z18" s="199"/>
      <c r="AA18" s="199"/>
      <c r="AB18" s="210"/>
      <c r="AC18" s="210"/>
    </row>
    <row r="19" spans="1:29" ht="33.75">
      <c r="A19" s="200">
        <v>16</v>
      </c>
      <c r="B19" s="194" t="s">
        <v>150</v>
      </c>
      <c r="C19" s="195" t="s">
        <v>151</v>
      </c>
      <c r="D19" s="195" t="s">
        <v>152</v>
      </c>
      <c r="E19" s="209" t="s">
        <v>153</v>
      </c>
      <c r="F19" s="195" t="s">
        <v>154</v>
      </c>
      <c r="G19" s="195" t="s">
        <v>155</v>
      </c>
      <c r="H19" s="196" t="s">
        <v>156</v>
      </c>
      <c r="I19" s="196" t="s">
        <v>157</v>
      </c>
      <c r="J19" s="196" t="s">
        <v>165</v>
      </c>
      <c r="K19" s="196" t="s">
        <v>159</v>
      </c>
      <c r="L19" s="196" t="s">
        <v>182</v>
      </c>
      <c r="M19" s="216" t="s">
        <v>160</v>
      </c>
      <c r="N19" s="196" t="s">
        <v>172</v>
      </c>
      <c r="O19" s="196" t="s">
        <v>183</v>
      </c>
      <c r="P19" s="196"/>
      <c r="Q19" s="196">
        <v>791920</v>
      </c>
      <c r="R19" s="196"/>
      <c r="S19" s="196"/>
      <c r="T19" s="196"/>
      <c r="U19" s="196" t="s">
        <v>162</v>
      </c>
      <c r="V19" s="196"/>
      <c r="W19" s="196"/>
      <c r="X19" s="196"/>
      <c r="Y19" s="196"/>
      <c r="Z19" s="199"/>
      <c r="AA19" s="199"/>
      <c r="AB19" s="210"/>
      <c r="AC19" s="210"/>
    </row>
    <row r="20" spans="1:29" ht="33.75">
      <c r="A20" s="200">
        <v>17</v>
      </c>
      <c r="B20" s="194" t="s">
        <v>150</v>
      </c>
      <c r="C20" s="195" t="s">
        <v>151</v>
      </c>
      <c r="D20" s="195" t="s">
        <v>152</v>
      </c>
      <c r="E20" s="209" t="s">
        <v>153</v>
      </c>
      <c r="F20" s="195" t="s">
        <v>154</v>
      </c>
      <c r="G20" s="195" t="s">
        <v>155</v>
      </c>
      <c r="H20" s="196" t="s">
        <v>156</v>
      </c>
      <c r="I20" s="196" t="s">
        <v>157</v>
      </c>
      <c r="J20" s="196" t="s">
        <v>165</v>
      </c>
      <c r="K20" s="196" t="s">
        <v>159</v>
      </c>
      <c r="L20" s="196" t="s">
        <v>184</v>
      </c>
      <c r="M20" s="216" t="s">
        <v>160</v>
      </c>
      <c r="N20" s="196" t="s">
        <v>172</v>
      </c>
      <c r="O20" s="196" t="s">
        <v>183</v>
      </c>
      <c r="P20" s="196"/>
      <c r="Q20" s="196">
        <v>791920</v>
      </c>
      <c r="R20" s="196"/>
      <c r="S20" s="196"/>
      <c r="T20" s="196"/>
      <c r="U20" s="196" t="s">
        <v>162</v>
      </c>
      <c r="V20" s="196"/>
      <c r="W20" s="196"/>
      <c r="X20" s="196"/>
      <c r="Y20" s="196"/>
      <c r="Z20" s="199"/>
      <c r="AA20" s="199"/>
      <c r="AB20" s="210"/>
      <c r="AC20" s="210"/>
    </row>
    <row r="21" spans="1:29" ht="33.75">
      <c r="A21" s="200">
        <v>18</v>
      </c>
      <c r="B21" s="194" t="s">
        <v>150</v>
      </c>
      <c r="C21" s="195" t="s">
        <v>151</v>
      </c>
      <c r="D21" s="195" t="s">
        <v>152</v>
      </c>
      <c r="E21" s="209" t="s">
        <v>153</v>
      </c>
      <c r="F21" s="195" t="s">
        <v>154</v>
      </c>
      <c r="G21" s="195" t="s">
        <v>155</v>
      </c>
      <c r="H21" s="196" t="s">
        <v>156</v>
      </c>
      <c r="I21" s="196" t="s">
        <v>157</v>
      </c>
      <c r="J21" s="196" t="s">
        <v>165</v>
      </c>
      <c r="K21" s="196" t="s">
        <v>159</v>
      </c>
      <c r="L21" s="196" t="s">
        <v>185</v>
      </c>
      <c r="M21" s="216" t="s">
        <v>160</v>
      </c>
      <c r="N21" s="196" t="s">
        <v>172</v>
      </c>
      <c r="O21" s="196" t="s">
        <v>173</v>
      </c>
      <c r="P21" s="196"/>
      <c r="Q21" s="196">
        <v>791920</v>
      </c>
      <c r="R21" s="196"/>
      <c r="S21" s="196"/>
      <c r="T21" s="196"/>
      <c r="U21" s="196" t="s">
        <v>162</v>
      </c>
      <c r="V21" s="196"/>
      <c r="W21" s="196"/>
      <c r="X21" s="196"/>
      <c r="Y21" s="196"/>
      <c r="Z21" s="199"/>
      <c r="AA21" s="199"/>
      <c r="AB21" s="210"/>
      <c r="AC21" s="210"/>
    </row>
    <row r="22" spans="1:29" ht="33.75">
      <c r="A22" s="200">
        <v>19</v>
      </c>
      <c r="B22" s="194" t="s">
        <v>150</v>
      </c>
      <c r="C22" s="195" t="s">
        <v>151</v>
      </c>
      <c r="D22" s="195" t="s">
        <v>152</v>
      </c>
      <c r="E22" s="209" t="s">
        <v>153</v>
      </c>
      <c r="F22" s="195" t="s">
        <v>154</v>
      </c>
      <c r="G22" s="195" t="s">
        <v>155</v>
      </c>
      <c r="H22" s="196" t="s">
        <v>156</v>
      </c>
      <c r="I22" s="196" t="s">
        <v>157</v>
      </c>
      <c r="J22" s="196" t="s">
        <v>165</v>
      </c>
      <c r="K22" s="196" t="s">
        <v>159</v>
      </c>
      <c r="L22" s="196" t="s">
        <v>186</v>
      </c>
      <c r="M22" s="216" t="s">
        <v>160</v>
      </c>
      <c r="N22" s="196" t="s">
        <v>172</v>
      </c>
      <c r="O22" s="196" t="s">
        <v>173</v>
      </c>
      <c r="P22" s="196"/>
      <c r="Q22" s="196">
        <v>791920</v>
      </c>
      <c r="R22" s="196"/>
      <c r="S22" s="196"/>
      <c r="T22" s="196"/>
      <c r="U22" s="196" t="s">
        <v>162</v>
      </c>
      <c r="V22" s="196"/>
      <c r="W22" s="196"/>
      <c r="X22" s="196"/>
      <c r="Y22" s="196"/>
      <c r="Z22" s="199"/>
      <c r="AA22" s="199"/>
      <c r="AB22" s="210"/>
      <c r="AC22" s="210"/>
    </row>
    <row r="23" spans="1:29" ht="33.75">
      <c r="A23" s="200">
        <v>20</v>
      </c>
      <c r="B23" s="194" t="s">
        <v>150</v>
      </c>
      <c r="C23" s="195" t="s">
        <v>151</v>
      </c>
      <c r="D23" s="195" t="s">
        <v>152</v>
      </c>
      <c r="E23" s="209" t="s">
        <v>153</v>
      </c>
      <c r="F23" s="195" t="s">
        <v>154</v>
      </c>
      <c r="G23" s="195" t="s">
        <v>155</v>
      </c>
      <c r="H23" s="196" t="s">
        <v>156</v>
      </c>
      <c r="I23" s="196" t="s">
        <v>157</v>
      </c>
      <c r="J23" s="196" t="s">
        <v>165</v>
      </c>
      <c r="K23" s="196" t="s">
        <v>159</v>
      </c>
      <c r="L23" s="196" t="s">
        <v>187</v>
      </c>
      <c r="M23" s="216" t="s">
        <v>160</v>
      </c>
      <c r="N23" s="196" t="s">
        <v>172</v>
      </c>
      <c r="O23" s="196" t="s">
        <v>173</v>
      </c>
      <c r="P23" s="196"/>
      <c r="Q23" s="196">
        <v>791920</v>
      </c>
      <c r="R23" s="196"/>
      <c r="S23" s="196"/>
      <c r="T23" s="196"/>
      <c r="U23" s="196" t="s">
        <v>162</v>
      </c>
      <c r="V23" s="196"/>
      <c r="W23" s="196"/>
      <c r="X23" s="196"/>
      <c r="Y23" s="196"/>
      <c r="Z23" s="199"/>
      <c r="AA23" s="199"/>
      <c r="AB23" s="210"/>
      <c r="AC23" s="210"/>
    </row>
    <row r="24" spans="1:29" ht="33.75">
      <c r="A24" s="200">
        <v>21</v>
      </c>
      <c r="B24" s="194" t="s">
        <v>150</v>
      </c>
      <c r="C24" s="195" t="s">
        <v>151</v>
      </c>
      <c r="D24" s="195" t="s">
        <v>152</v>
      </c>
      <c r="E24" s="209" t="s">
        <v>153</v>
      </c>
      <c r="F24" s="195" t="s">
        <v>154</v>
      </c>
      <c r="G24" s="195" t="s">
        <v>155</v>
      </c>
      <c r="H24" s="196" t="s">
        <v>156</v>
      </c>
      <c r="I24" s="196" t="s">
        <v>157</v>
      </c>
      <c r="J24" s="196" t="s">
        <v>165</v>
      </c>
      <c r="K24" s="196" t="s">
        <v>159</v>
      </c>
      <c r="L24" s="196" t="s">
        <v>188</v>
      </c>
      <c r="M24" s="216" t="s">
        <v>160</v>
      </c>
      <c r="N24" s="196" t="s">
        <v>172</v>
      </c>
      <c r="O24" s="196" t="s">
        <v>180</v>
      </c>
      <c r="P24" s="196"/>
      <c r="Q24" s="196">
        <v>791920</v>
      </c>
      <c r="R24" s="196"/>
      <c r="S24" s="196"/>
      <c r="T24" s="196"/>
      <c r="U24" s="196" t="s">
        <v>162</v>
      </c>
      <c r="V24" s="196"/>
      <c r="W24" s="196"/>
      <c r="X24" s="196"/>
      <c r="Y24" s="196"/>
      <c r="Z24" s="199"/>
      <c r="AA24" s="199"/>
      <c r="AB24" s="210"/>
      <c r="AC24" s="210"/>
    </row>
    <row r="25" spans="1:29" ht="33.75">
      <c r="A25" s="200">
        <v>22</v>
      </c>
      <c r="B25" s="194" t="s">
        <v>150</v>
      </c>
      <c r="C25" s="195" t="s">
        <v>151</v>
      </c>
      <c r="D25" s="195" t="s">
        <v>152</v>
      </c>
      <c r="E25" s="209" t="s">
        <v>153</v>
      </c>
      <c r="F25" s="195" t="s">
        <v>154</v>
      </c>
      <c r="G25" s="195" t="s">
        <v>155</v>
      </c>
      <c r="H25" s="196" t="s">
        <v>156</v>
      </c>
      <c r="I25" s="196" t="s">
        <v>157</v>
      </c>
      <c r="J25" s="196" t="s">
        <v>165</v>
      </c>
      <c r="K25" s="196" t="s">
        <v>159</v>
      </c>
      <c r="L25" s="196" t="s">
        <v>182</v>
      </c>
      <c r="M25" s="216" t="s">
        <v>160</v>
      </c>
      <c r="N25" s="196" t="s">
        <v>181</v>
      </c>
      <c r="O25" s="196" t="s">
        <v>173</v>
      </c>
      <c r="P25" s="196"/>
      <c r="Q25" s="196">
        <v>791920</v>
      </c>
      <c r="R25" s="196"/>
      <c r="S25" s="196"/>
      <c r="T25" s="196"/>
      <c r="U25" s="196" t="s">
        <v>162</v>
      </c>
      <c r="V25" s="196"/>
      <c r="W25" s="196"/>
      <c r="X25" s="196"/>
      <c r="Y25" s="196"/>
      <c r="Z25" s="199"/>
      <c r="AA25" s="199"/>
      <c r="AB25" s="210"/>
      <c r="AC25" s="210"/>
    </row>
    <row r="26" spans="1:29" ht="33.75">
      <c r="A26" s="200">
        <v>23</v>
      </c>
      <c r="B26" s="194" t="s">
        <v>150</v>
      </c>
      <c r="C26" s="195" t="s">
        <v>151</v>
      </c>
      <c r="D26" s="195" t="s">
        <v>152</v>
      </c>
      <c r="E26" s="209" t="s">
        <v>153</v>
      </c>
      <c r="F26" s="195" t="s">
        <v>154</v>
      </c>
      <c r="G26" s="195" t="s">
        <v>155</v>
      </c>
      <c r="H26" s="196" t="s">
        <v>156</v>
      </c>
      <c r="I26" s="196" t="s">
        <v>157</v>
      </c>
      <c r="J26" s="196" t="s">
        <v>165</v>
      </c>
      <c r="K26" s="196" t="s">
        <v>159</v>
      </c>
      <c r="L26" s="196" t="s">
        <v>184</v>
      </c>
      <c r="M26" s="216" t="s">
        <v>160</v>
      </c>
      <c r="N26" s="196" t="s">
        <v>181</v>
      </c>
      <c r="O26" s="196" t="s">
        <v>173</v>
      </c>
      <c r="P26" s="196"/>
      <c r="Q26" s="196">
        <v>791920</v>
      </c>
      <c r="R26" s="196"/>
      <c r="S26" s="196"/>
      <c r="T26" s="196"/>
      <c r="U26" s="196" t="s">
        <v>162</v>
      </c>
      <c r="V26" s="196"/>
      <c r="W26" s="196"/>
      <c r="X26" s="196"/>
      <c r="Y26" s="196"/>
      <c r="Z26" s="199"/>
      <c r="AA26" s="199"/>
      <c r="AB26" s="210"/>
      <c r="AC26" s="210"/>
    </row>
    <row r="27" spans="1:29" ht="33.75">
      <c r="A27" s="200">
        <v>24</v>
      </c>
      <c r="B27" s="194" t="s">
        <v>150</v>
      </c>
      <c r="C27" s="195" t="s">
        <v>151</v>
      </c>
      <c r="D27" s="195" t="s">
        <v>152</v>
      </c>
      <c r="E27" s="209" t="s">
        <v>153</v>
      </c>
      <c r="F27" s="195" t="s">
        <v>154</v>
      </c>
      <c r="G27" s="195" t="s">
        <v>155</v>
      </c>
      <c r="H27" s="196" t="s">
        <v>156</v>
      </c>
      <c r="I27" s="196" t="s">
        <v>157</v>
      </c>
      <c r="J27" s="196" t="s">
        <v>165</v>
      </c>
      <c r="K27" s="196" t="s">
        <v>159</v>
      </c>
      <c r="L27" s="196" t="s">
        <v>185</v>
      </c>
      <c r="M27" s="216" t="s">
        <v>160</v>
      </c>
      <c r="N27" s="196" t="s">
        <v>181</v>
      </c>
      <c r="O27" s="196" t="s">
        <v>173</v>
      </c>
      <c r="P27" s="196"/>
      <c r="Q27" s="196">
        <v>791920</v>
      </c>
      <c r="R27" s="196"/>
      <c r="S27" s="196"/>
      <c r="T27" s="196"/>
      <c r="U27" s="196" t="s">
        <v>162</v>
      </c>
      <c r="V27" s="196"/>
      <c r="W27" s="196"/>
      <c r="X27" s="196"/>
      <c r="Y27" s="196"/>
      <c r="Z27" s="199"/>
      <c r="AA27" s="199"/>
      <c r="AB27" s="210"/>
      <c r="AC27" s="210"/>
    </row>
    <row r="28" spans="1:29" ht="33.75">
      <c r="A28" s="200">
        <v>25</v>
      </c>
      <c r="B28" s="194" t="s">
        <v>150</v>
      </c>
      <c r="C28" s="195" t="s">
        <v>151</v>
      </c>
      <c r="D28" s="195" t="s">
        <v>152</v>
      </c>
      <c r="E28" s="209" t="s">
        <v>153</v>
      </c>
      <c r="F28" s="195" t="s">
        <v>154</v>
      </c>
      <c r="G28" s="195" t="s">
        <v>155</v>
      </c>
      <c r="H28" s="196" t="s">
        <v>156</v>
      </c>
      <c r="I28" s="196" t="s">
        <v>157</v>
      </c>
      <c r="J28" s="196" t="s">
        <v>165</v>
      </c>
      <c r="K28" s="196" t="s">
        <v>159</v>
      </c>
      <c r="L28" s="196" t="s">
        <v>186</v>
      </c>
      <c r="M28" s="216" t="s">
        <v>160</v>
      </c>
      <c r="N28" s="196" t="s">
        <v>181</v>
      </c>
      <c r="O28" s="196" t="s">
        <v>173</v>
      </c>
      <c r="P28" s="196"/>
      <c r="Q28" s="196">
        <v>791920</v>
      </c>
      <c r="R28" s="196"/>
      <c r="S28" s="196"/>
      <c r="T28" s="196"/>
      <c r="U28" s="196" t="s">
        <v>162</v>
      </c>
      <c r="V28" s="196"/>
      <c r="W28" s="196"/>
      <c r="X28" s="196"/>
      <c r="Y28" s="196"/>
      <c r="Z28" s="199"/>
      <c r="AA28" s="199"/>
      <c r="AB28" s="210"/>
      <c r="AC28" s="210"/>
    </row>
    <row r="29" spans="1:29" ht="33.75">
      <c r="A29" s="200">
        <v>26</v>
      </c>
      <c r="B29" s="194" t="s">
        <v>150</v>
      </c>
      <c r="C29" s="195" t="s">
        <v>151</v>
      </c>
      <c r="D29" s="195" t="s">
        <v>152</v>
      </c>
      <c r="E29" s="209" t="s">
        <v>153</v>
      </c>
      <c r="F29" s="195" t="s">
        <v>154</v>
      </c>
      <c r="G29" s="195" t="s">
        <v>155</v>
      </c>
      <c r="H29" s="196" t="s">
        <v>156</v>
      </c>
      <c r="I29" s="196" t="s">
        <v>157</v>
      </c>
      <c r="J29" s="196" t="s">
        <v>165</v>
      </c>
      <c r="K29" s="196" t="s">
        <v>159</v>
      </c>
      <c r="L29" s="196" t="s">
        <v>187</v>
      </c>
      <c r="M29" s="216" t="s">
        <v>160</v>
      </c>
      <c r="N29" s="196" t="s">
        <v>181</v>
      </c>
      <c r="O29" s="196" t="s">
        <v>173</v>
      </c>
      <c r="P29" s="196"/>
      <c r="Q29" s="196">
        <v>791920</v>
      </c>
      <c r="R29" s="196"/>
      <c r="S29" s="196"/>
      <c r="T29" s="196"/>
      <c r="U29" s="196" t="s">
        <v>162</v>
      </c>
      <c r="V29" s="196"/>
      <c r="W29" s="196"/>
      <c r="X29" s="196"/>
      <c r="Y29" s="196"/>
      <c r="Z29" s="199"/>
      <c r="AA29" s="199"/>
      <c r="AB29" s="210"/>
      <c r="AC29" s="210"/>
    </row>
    <row r="30" spans="1:29" ht="33.75">
      <c r="A30" s="200">
        <v>27</v>
      </c>
      <c r="B30" s="194" t="s">
        <v>150</v>
      </c>
      <c r="C30" s="195" t="s">
        <v>151</v>
      </c>
      <c r="D30" s="195" t="s">
        <v>152</v>
      </c>
      <c r="E30" s="209" t="s">
        <v>153</v>
      </c>
      <c r="F30" s="195" t="s">
        <v>154</v>
      </c>
      <c r="G30" s="195" t="s">
        <v>155</v>
      </c>
      <c r="H30" s="196" t="s">
        <v>156</v>
      </c>
      <c r="I30" s="196" t="s">
        <v>157</v>
      </c>
      <c r="J30" s="196" t="s">
        <v>165</v>
      </c>
      <c r="K30" s="196" t="s">
        <v>159</v>
      </c>
      <c r="L30" s="196" t="s">
        <v>188</v>
      </c>
      <c r="M30" s="216" t="s">
        <v>160</v>
      </c>
      <c r="N30" s="196" t="s">
        <v>181</v>
      </c>
      <c r="O30" s="196" t="s">
        <v>180</v>
      </c>
      <c r="P30" s="196"/>
      <c r="Q30" s="196">
        <v>791920</v>
      </c>
      <c r="R30" s="196"/>
      <c r="S30" s="196"/>
      <c r="T30" s="196"/>
      <c r="U30" s="196" t="s">
        <v>162</v>
      </c>
      <c r="V30" s="196"/>
      <c r="W30" s="196"/>
      <c r="X30" s="196"/>
      <c r="Y30" s="196"/>
      <c r="Z30" s="199"/>
      <c r="AA30" s="199"/>
      <c r="AB30" s="210"/>
      <c r="AC30" s="210"/>
    </row>
    <row r="31" spans="1:29" ht="33.75">
      <c r="A31" s="200">
        <v>28</v>
      </c>
      <c r="B31" s="194" t="s">
        <v>150</v>
      </c>
      <c r="C31" s="195" t="s">
        <v>151</v>
      </c>
      <c r="D31" s="195" t="s">
        <v>152</v>
      </c>
      <c r="E31" s="209" t="s">
        <v>153</v>
      </c>
      <c r="F31" s="195" t="s">
        <v>154</v>
      </c>
      <c r="G31" s="195" t="s">
        <v>155</v>
      </c>
      <c r="H31" s="196" t="s">
        <v>156</v>
      </c>
      <c r="I31" s="196" t="s">
        <v>157</v>
      </c>
      <c r="J31" s="196" t="s">
        <v>163</v>
      </c>
      <c r="K31" s="196" t="s">
        <v>159</v>
      </c>
      <c r="L31" s="196" t="s">
        <v>189</v>
      </c>
      <c r="M31" s="216" t="s">
        <v>160</v>
      </c>
      <c r="N31" s="196" t="s">
        <v>172</v>
      </c>
      <c r="O31" s="196" t="s">
        <v>183</v>
      </c>
      <c r="P31" s="196"/>
      <c r="Q31" s="196">
        <v>791920</v>
      </c>
      <c r="R31" s="196"/>
      <c r="S31" s="196"/>
      <c r="T31" s="196"/>
      <c r="U31" s="196" t="s">
        <v>162</v>
      </c>
      <c r="V31" s="196"/>
      <c r="W31" s="196"/>
      <c r="X31" s="196"/>
      <c r="Y31" s="196"/>
      <c r="Z31" s="199"/>
      <c r="AA31" s="199"/>
      <c r="AB31" s="210"/>
      <c r="AC31" s="210"/>
    </row>
    <row r="32" spans="1:29" ht="33.75">
      <c r="A32" s="200">
        <v>29</v>
      </c>
      <c r="B32" s="194" t="s">
        <v>150</v>
      </c>
      <c r="C32" s="195" t="s">
        <v>151</v>
      </c>
      <c r="D32" s="195" t="s">
        <v>152</v>
      </c>
      <c r="E32" s="209" t="s">
        <v>153</v>
      </c>
      <c r="F32" s="195" t="s">
        <v>154</v>
      </c>
      <c r="G32" s="195" t="s">
        <v>155</v>
      </c>
      <c r="H32" s="196" t="s">
        <v>156</v>
      </c>
      <c r="I32" s="196" t="s">
        <v>157</v>
      </c>
      <c r="J32" s="196" t="s">
        <v>163</v>
      </c>
      <c r="K32" s="196" t="s">
        <v>159</v>
      </c>
      <c r="L32" s="196" t="s">
        <v>190</v>
      </c>
      <c r="M32" s="216" t="s">
        <v>160</v>
      </c>
      <c r="N32" s="196" t="s">
        <v>172</v>
      </c>
      <c r="O32" s="196" t="s">
        <v>183</v>
      </c>
      <c r="P32" s="196"/>
      <c r="Q32" s="196">
        <v>791920</v>
      </c>
      <c r="R32" s="196"/>
      <c r="S32" s="196"/>
      <c r="T32" s="196"/>
      <c r="U32" s="196" t="s">
        <v>162</v>
      </c>
      <c r="V32" s="196"/>
      <c r="W32" s="196"/>
      <c r="X32" s="196"/>
      <c r="Y32" s="196"/>
      <c r="Z32" s="199"/>
      <c r="AA32" s="199"/>
      <c r="AB32" s="210"/>
      <c r="AC32" s="210"/>
    </row>
    <row r="33" spans="1:29" ht="33.75">
      <c r="A33" s="200">
        <v>30</v>
      </c>
      <c r="B33" s="194" t="s">
        <v>150</v>
      </c>
      <c r="C33" s="195" t="s">
        <v>151</v>
      </c>
      <c r="D33" s="195" t="s">
        <v>152</v>
      </c>
      <c r="E33" s="209" t="s">
        <v>153</v>
      </c>
      <c r="F33" s="195" t="s">
        <v>154</v>
      </c>
      <c r="G33" s="195" t="s">
        <v>155</v>
      </c>
      <c r="H33" s="196" t="s">
        <v>156</v>
      </c>
      <c r="I33" s="196" t="s">
        <v>157</v>
      </c>
      <c r="J33" s="196" t="s">
        <v>163</v>
      </c>
      <c r="K33" s="196" t="s">
        <v>159</v>
      </c>
      <c r="L33" s="196" t="s">
        <v>191</v>
      </c>
      <c r="M33" s="216" t="s">
        <v>160</v>
      </c>
      <c r="N33" s="196" t="s">
        <v>172</v>
      </c>
      <c r="O33" s="196" t="s">
        <v>173</v>
      </c>
      <c r="P33" s="196"/>
      <c r="Q33" s="196">
        <v>791920</v>
      </c>
      <c r="R33" s="196"/>
      <c r="S33" s="196"/>
      <c r="T33" s="196"/>
      <c r="U33" s="196" t="s">
        <v>162</v>
      </c>
      <c r="V33" s="196"/>
      <c r="W33" s="196"/>
      <c r="X33" s="196"/>
      <c r="Y33" s="196"/>
      <c r="Z33" s="199"/>
      <c r="AA33" s="199"/>
      <c r="AB33" s="210"/>
      <c r="AC33" s="210"/>
    </row>
    <row r="34" spans="1:29" ht="33.75">
      <c r="A34" s="200">
        <v>31</v>
      </c>
      <c r="B34" s="194" t="s">
        <v>150</v>
      </c>
      <c r="C34" s="195" t="s">
        <v>151</v>
      </c>
      <c r="D34" s="195" t="s">
        <v>152</v>
      </c>
      <c r="E34" s="209" t="s">
        <v>153</v>
      </c>
      <c r="F34" s="195" t="s">
        <v>154</v>
      </c>
      <c r="G34" s="195" t="s">
        <v>155</v>
      </c>
      <c r="H34" s="196" t="s">
        <v>156</v>
      </c>
      <c r="I34" s="196" t="s">
        <v>157</v>
      </c>
      <c r="J34" s="196" t="s">
        <v>163</v>
      </c>
      <c r="K34" s="196" t="s">
        <v>159</v>
      </c>
      <c r="L34" s="196" t="s">
        <v>192</v>
      </c>
      <c r="M34" s="216" t="s">
        <v>160</v>
      </c>
      <c r="N34" s="196" t="s">
        <v>172</v>
      </c>
      <c r="O34" s="196" t="s">
        <v>173</v>
      </c>
      <c r="P34" s="196"/>
      <c r="Q34" s="196">
        <v>791920</v>
      </c>
      <c r="R34" s="196"/>
      <c r="S34" s="196"/>
      <c r="T34" s="196"/>
      <c r="U34" s="196" t="s">
        <v>162</v>
      </c>
      <c r="V34" s="196"/>
      <c r="W34" s="196"/>
      <c r="X34" s="196"/>
      <c r="Y34" s="196"/>
      <c r="Z34" s="199"/>
      <c r="AA34" s="199"/>
      <c r="AB34" s="210"/>
      <c r="AC34" s="210"/>
    </row>
    <row r="35" spans="1:29" ht="33.75">
      <c r="A35" s="200">
        <v>32</v>
      </c>
      <c r="B35" s="194" t="s">
        <v>150</v>
      </c>
      <c r="C35" s="195" t="s">
        <v>151</v>
      </c>
      <c r="D35" s="195" t="s">
        <v>152</v>
      </c>
      <c r="E35" s="209" t="s">
        <v>153</v>
      </c>
      <c r="F35" s="195" t="s">
        <v>154</v>
      </c>
      <c r="G35" s="195" t="s">
        <v>155</v>
      </c>
      <c r="H35" s="196" t="s">
        <v>156</v>
      </c>
      <c r="I35" s="196" t="s">
        <v>157</v>
      </c>
      <c r="J35" s="196" t="s">
        <v>163</v>
      </c>
      <c r="K35" s="196" t="s">
        <v>159</v>
      </c>
      <c r="L35" s="196" t="s">
        <v>193</v>
      </c>
      <c r="M35" s="216" t="s">
        <v>160</v>
      </c>
      <c r="N35" s="196" t="s">
        <v>172</v>
      </c>
      <c r="O35" s="196" t="s">
        <v>173</v>
      </c>
      <c r="P35" s="196"/>
      <c r="Q35" s="196">
        <v>791920</v>
      </c>
      <c r="R35" s="196"/>
      <c r="S35" s="196"/>
      <c r="T35" s="196"/>
      <c r="U35" s="196" t="s">
        <v>162</v>
      </c>
      <c r="V35" s="196"/>
      <c r="W35" s="196"/>
      <c r="X35" s="196"/>
      <c r="Y35" s="196"/>
      <c r="Z35" s="199"/>
      <c r="AA35" s="199"/>
      <c r="AB35" s="210"/>
      <c r="AC35" s="210"/>
    </row>
    <row r="36" spans="1:29" ht="33.75">
      <c r="A36" s="200">
        <v>33</v>
      </c>
      <c r="B36" s="194" t="s">
        <v>150</v>
      </c>
      <c r="C36" s="195" t="s">
        <v>151</v>
      </c>
      <c r="D36" s="195" t="s">
        <v>152</v>
      </c>
      <c r="E36" s="209" t="s">
        <v>153</v>
      </c>
      <c r="F36" s="195" t="s">
        <v>154</v>
      </c>
      <c r="G36" s="195" t="s">
        <v>155</v>
      </c>
      <c r="H36" s="196" t="s">
        <v>156</v>
      </c>
      <c r="I36" s="196" t="s">
        <v>157</v>
      </c>
      <c r="J36" s="196" t="s">
        <v>163</v>
      </c>
      <c r="K36" s="196" t="s">
        <v>159</v>
      </c>
      <c r="L36" s="196" t="s">
        <v>194</v>
      </c>
      <c r="M36" s="216" t="s">
        <v>160</v>
      </c>
      <c r="N36" s="196" t="s">
        <v>172</v>
      </c>
      <c r="O36" s="196" t="s">
        <v>180</v>
      </c>
      <c r="P36" s="196"/>
      <c r="Q36" s="196">
        <v>791920</v>
      </c>
      <c r="R36" s="196"/>
      <c r="S36" s="196"/>
      <c r="T36" s="196"/>
      <c r="U36" s="196" t="s">
        <v>162</v>
      </c>
      <c r="V36" s="196"/>
      <c r="W36" s="196"/>
      <c r="X36" s="196"/>
      <c r="Y36" s="196"/>
      <c r="Z36" s="199"/>
      <c r="AA36" s="199"/>
      <c r="AB36" s="210"/>
      <c r="AC36" s="210"/>
    </row>
    <row r="37" spans="1:29" ht="33.75">
      <c r="A37" s="200">
        <v>34</v>
      </c>
      <c r="B37" s="194" t="s">
        <v>150</v>
      </c>
      <c r="C37" s="195" t="s">
        <v>151</v>
      </c>
      <c r="D37" s="195" t="s">
        <v>152</v>
      </c>
      <c r="E37" s="209" t="s">
        <v>153</v>
      </c>
      <c r="F37" s="195" t="s">
        <v>154</v>
      </c>
      <c r="G37" s="195" t="s">
        <v>155</v>
      </c>
      <c r="H37" s="196" t="s">
        <v>156</v>
      </c>
      <c r="I37" s="196" t="s">
        <v>157</v>
      </c>
      <c r="J37" s="196" t="s">
        <v>163</v>
      </c>
      <c r="K37" s="196" t="s">
        <v>159</v>
      </c>
      <c r="L37" s="196" t="s">
        <v>189</v>
      </c>
      <c r="M37" s="216" t="s">
        <v>160</v>
      </c>
      <c r="N37" s="196" t="s">
        <v>181</v>
      </c>
      <c r="O37" s="196" t="s">
        <v>173</v>
      </c>
      <c r="P37" s="196"/>
      <c r="Q37" s="196">
        <v>791920</v>
      </c>
      <c r="R37" s="196"/>
      <c r="S37" s="196"/>
      <c r="T37" s="196"/>
      <c r="U37" s="196" t="s">
        <v>162</v>
      </c>
      <c r="V37" s="196"/>
      <c r="W37" s="196"/>
      <c r="X37" s="196"/>
      <c r="Y37" s="196"/>
      <c r="Z37" s="199"/>
      <c r="AA37" s="199"/>
      <c r="AB37" s="210"/>
      <c r="AC37" s="210"/>
    </row>
    <row r="38" spans="1:29" ht="33.75">
      <c r="A38" s="200">
        <v>35</v>
      </c>
      <c r="B38" s="194" t="s">
        <v>150</v>
      </c>
      <c r="C38" s="195" t="s">
        <v>151</v>
      </c>
      <c r="D38" s="195" t="s">
        <v>152</v>
      </c>
      <c r="E38" s="209" t="s">
        <v>153</v>
      </c>
      <c r="F38" s="195" t="s">
        <v>154</v>
      </c>
      <c r="G38" s="195" t="s">
        <v>155</v>
      </c>
      <c r="H38" s="196" t="s">
        <v>156</v>
      </c>
      <c r="I38" s="196" t="s">
        <v>157</v>
      </c>
      <c r="J38" s="196" t="s">
        <v>163</v>
      </c>
      <c r="K38" s="196" t="s">
        <v>159</v>
      </c>
      <c r="L38" s="196" t="s">
        <v>190</v>
      </c>
      <c r="M38" s="216" t="s">
        <v>160</v>
      </c>
      <c r="N38" s="196" t="s">
        <v>181</v>
      </c>
      <c r="O38" s="196" t="s">
        <v>173</v>
      </c>
      <c r="P38" s="196"/>
      <c r="Q38" s="196">
        <v>791920</v>
      </c>
      <c r="R38" s="196"/>
      <c r="S38" s="196"/>
      <c r="T38" s="196"/>
      <c r="U38" s="196" t="s">
        <v>162</v>
      </c>
      <c r="V38" s="196"/>
      <c r="W38" s="196"/>
      <c r="X38" s="196"/>
      <c r="Y38" s="196"/>
      <c r="Z38" s="199"/>
      <c r="AA38" s="199"/>
      <c r="AB38" s="210"/>
      <c r="AC38" s="210"/>
    </row>
    <row r="39" spans="1:29" ht="33.75">
      <c r="A39" s="200">
        <v>36</v>
      </c>
      <c r="B39" s="194" t="s">
        <v>150</v>
      </c>
      <c r="C39" s="195" t="s">
        <v>151</v>
      </c>
      <c r="D39" s="195" t="s">
        <v>152</v>
      </c>
      <c r="E39" s="209" t="s">
        <v>153</v>
      </c>
      <c r="F39" s="195" t="s">
        <v>154</v>
      </c>
      <c r="G39" s="195" t="s">
        <v>155</v>
      </c>
      <c r="H39" s="196" t="s">
        <v>156</v>
      </c>
      <c r="I39" s="196" t="s">
        <v>157</v>
      </c>
      <c r="J39" s="196" t="s">
        <v>163</v>
      </c>
      <c r="K39" s="196" t="s">
        <v>159</v>
      </c>
      <c r="L39" s="196" t="s">
        <v>191</v>
      </c>
      <c r="M39" s="216" t="s">
        <v>160</v>
      </c>
      <c r="N39" s="196" t="s">
        <v>181</v>
      </c>
      <c r="O39" s="196" t="s">
        <v>173</v>
      </c>
      <c r="P39" s="196"/>
      <c r="Q39" s="196">
        <v>791920</v>
      </c>
      <c r="R39" s="196"/>
      <c r="S39" s="196"/>
      <c r="T39" s="196"/>
      <c r="U39" s="196" t="s">
        <v>162</v>
      </c>
      <c r="V39" s="196"/>
      <c r="W39" s="196"/>
      <c r="X39" s="196"/>
      <c r="Y39" s="196"/>
      <c r="Z39" s="199"/>
      <c r="AA39" s="199"/>
      <c r="AB39" s="210"/>
      <c r="AC39" s="210"/>
    </row>
    <row r="40" spans="1:29" ht="33.75">
      <c r="A40" s="200">
        <v>37</v>
      </c>
      <c r="B40" s="194" t="s">
        <v>150</v>
      </c>
      <c r="C40" s="195" t="s">
        <v>151</v>
      </c>
      <c r="D40" s="195" t="s">
        <v>152</v>
      </c>
      <c r="E40" s="209" t="s">
        <v>153</v>
      </c>
      <c r="F40" s="195" t="s">
        <v>154</v>
      </c>
      <c r="G40" s="195" t="s">
        <v>155</v>
      </c>
      <c r="H40" s="196" t="s">
        <v>156</v>
      </c>
      <c r="I40" s="196" t="s">
        <v>157</v>
      </c>
      <c r="J40" s="196" t="s">
        <v>163</v>
      </c>
      <c r="K40" s="196" t="s">
        <v>159</v>
      </c>
      <c r="L40" s="196" t="s">
        <v>192</v>
      </c>
      <c r="M40" s="216" t="s">
        <v>160</v>
      </c>
      <c r="N40" s="196" t="s">
        <v>181</v>
      </c>
      <c r="O40" s="196" t="s">
        <v>173</v>
      </c>
      <c r="P40" s="196"/>
      <c r="Q40" s="196">
        <v>791920</v>
      </c>
      <c r="R40" s="196"/>
      <c r="S40" s="196"/>
      <c r="T40" s="196"/>
      <c r="U40" s="196" t="s">
        <v>162</v>
      </c>
      <c r="V40" s="196"/>
      <c r="W40" s="196"/>
      <c r="X40" s="196"/>
      <c r="Y40" s="196"/>
      <c r="Z40" s="199"/>
      <c r="AA40" s="199"/>
      <c r="AB40" s="210"/>
      <c r="AC40" s="210"/>
    </row>
    <row r="41" spans="1:29" ht="33.75">
      <c r="A41" s="200">
        <v>38</v>
      </c>
      <c r="B41" s="194" t="s">
        <v>150</v>
      </c>
      <c r="C41" s="195" t="s">
        <v>151</v>
      </c>
      <c r="D41" s="195" t="s">
        <v>152</v>
      </c>
      <c r="E41" s="209" t="s">
        <v>153</v>
      </c>
      <c r="F41" s="195" t="s">
        <v>154</v>
      </c>
      <c r="G41" s="195" t="s">
        <v>155</v>
      </c>
      <c r="H41" s="196" t="s">
        <v>156</v>
      </c>
      <c r="I41" s="196" t="s">
        <v>157</v>
      </c>
      <c r="J41" s="196" t="s">
        <v>163</v>
      </c>
      <c r="K41" s="196" t="s">
        <v>159</v>
      </c>
      <c r="L41" s="196" t="s">
        <v>193</v>
      </c>
      <c r="M41" s="216" t="s">
        <v>160</v>
      </c>
      <c r="N41" s="196" t="s">
        <v>181</v>
      </c>
      <c r="O41" s="196" t="s">
        <v>173</v>
      </c>
      <c r="P41" s="196"/>
      <c r="Q41" s="196">
        <v>791920</v>
      </c>
      <c r="R41" s="196"/>
      <c r="S41" s="196"/>
      <c r="T41" s="196"/>
      <c r="U41" s="196" t="s">
        <v>162</v>
      </c>
      <c r="V41" s="196"/>
      <c r="W41" s="196"/>
      <c r="X41" s="196"/>
      <c r="Y41" s="196"/>
      <c r="Z41" s="199"/>
      <c r="AA41" s="199"/>
      <c r="AB41" s="210"/>
      <c r="AC41" s="210"/>
    </row>
    <row r="42" spans="1:29" ht="33.75">
      <c r="A42" s="200">
        <v>39</v>
      </c>
      <c r="B42" s="194" t="s">
        <v>150</v>
      </c>
      <c r="C42" s="195" t="s">
        <v>151</v>
      </c>
      <c r="D42" s="195" t="s">
        <v>152</v>
      </c>
      <c r="E42" s="209" t="s">
        <v>153</v>
      </c>
      <c r="F42" s="195" t="s">
        <v>154</v>
      </c>
      <c r="G42" s="195" t="s">
        <v>155</v>
      </c>
      <c r="H42" s="196" t="s">
        <v>156</v>
      </c>
      <c r="I42" s="196" t="s">
        <v>157</v>
      </c>
      <c r="J42" s="196" t="s">
        <v>163</v>
      </c>
      <c r="K42" s="196" t="s">
        <v>159</v>
      </c>
      <c r="L42" s="196" t="s">
        <v>194</v>
      </c>
      <c r="M42" s="216" t="s">
        <v>160</v>
      </c>
      <c r="N42" s="196" t="s">
        <v>181</v>
      </c>
      <c r="O42" s="196" t="s">
        <v>180</v>
      </c>
      <c r="P42" s="196"/>
      <c r="Q42" s="196">
        <v>791920</v>
      </c>
      <c r="R42" s="196"/>
      <c r="S42" s="196"/>
      <c r="T42" s="196"/>
      <c r="U42" s="196" t="s">
        <v>162</v>
      </c>
      <c r="V42" s="196"/>
      <c r="W42" s="196"/>
      <c r="X42" s="196"/>
      <c r="Y42" s="196"/>
      <c r="Z42" s="199"/>
      <c r="AA42" s="199"/>
      <c r="AB42" s="210"/>
      <c r="AC42" s="210"/>
    </row>
    <row r="43" spans="1:29" ht="33.75">
      <c r="A43" s="200">
        <v>40</v>
      </c>
      <c r="B43" s="194" t="s">
        <v>150</v>
      </c>
      <c r="C43" s="195" t="s">
        <v>151</v>
      </c>
      <c r="D43" s="195" t="s">
        <v>152</v>
      </c>
      <c r="E43" s="209" t="s">
        <v>153</v>
      </c>
      <c r="F43" s="195" t="s">
        <v>154</v>
      </c>
      <c r="G43" s="195" t="s">
        <v>155</v>
      </c>
      <c r="H43" s="196" t="s">
        <v>156</v>
      </c>
      <c r="I43" s="196" t="s">
        <v>157</v>
      </c>
      <c r="J43" s="196" t="s">
        <v>167</v>
      </c>
      <c r="K43" s="196" t="s">
        <v>159</v>
      </c>
      <c r="L43" s="196" t="s">
        <v>195</v>
      </c>
      <c r="M43" s="216" t="s">
        <v>160</v>
      </c>
      <c r="N43" s="196" t="s">
        <v>172</v>
      </c>
      <c r="O43" s="196" t="s">
        <v>183</v>
      </c>
      <c r="P43" s="196"/>
      <c r="Q43" s="196">
        <v>791920</v>
      </c>
      <c r="R43" s="196"/>
      <c r="S43" s="196"/>
      <c r="T43" s="196"/>
      <c r="U43" s="196" t="s">
        <v>162</v>
      </c>
      <c r="V43" s="196"/>
      <c r="W43" s="196"/>
      <c r="X43" s="196"/>
      <c r="Y43" s="196"/>
      <c r="Z43" s="199"/>
      <c r="AA43" s="199"/>
      <c r="AB43" s="210"/>
      <c r="AC43" s="210"/>
    </row>
    <row r="44" spans="1:29" ht="33.75">
      <c r="A44" s="200">
        <v>41</v>
      </c>
      <c r="B44" s="194" t="s">
        <v>150</v>
      </c>
      <c r="C44" s="195" t="s">
        <v>151</v>
      </c>
      <c r="D44" s="195" t="s">
        <v>152</v>
      </c>
      <c r="E44" s="209" t="s">
        <v>153</v>
      </c>
      <c r="F44" s="195" t="s">
        <v>154</v>
      </c>
      <c r="G44" s="195" t="s">
        <v>155</v>
      </c>
      <c r="H44" s="196" t="s">
        <v>156</v>
      </c>
      <c r="I44" s="196" t="s">
        <v>157</v>
      </c>
      <c r="J44" s="196" t="s">
        <v>167</v>
      </c>
      <c r="K44" s="196" t="s">
        <v>159</v>
      </c>
      <c r="L44" s="196" t="s">
        <v>196</v>
      </c>
      <c r="M44" s="216" t="s">
        <v>160</v>
      </c>
      <c r="N44" s="196" t="s">
        <v>172</v>
      </c>
      <c r="O44" s="196" t="s">
        <v>183</v>
      </c>
      <c r="P44" s="196"/>
      <c r="Q44" s="196">
        <v>791920</v>
      </c>
      <c r="R44" s="196"/>
      <c r="S44" s="196"/>
      <c r="T44" s="196"/>
      <c r="U44" s="196" t="s">
        <v>162</v>
      </c>
      <c r="V44" s="196"/>
      <c r="W44" s="196"/>
      <c r="X44" s="196"/>
      <c r="Y44" s="196"/>
      <c r="Z44" s="199"/>
      <c r="AA44" s="199"/>
      <c r="AB44" s="210"/>
      <c r="AC44" s="210"/>
    </row>
    <row r="45" spans="1:29" ht="33.75">
      <c r="A45" s="200">
        <v>42</v>
      </c>
      <c r="B45" s="194" t="s">
        <v>150</v>
      </c>
      <c r="C45" s="195" t="s">
        <v>151</v>
      </c>
      <c r="D45" s="195" t="s">
        <v>152</v>
      </c>
      <c r="E45" s="209" t="s">
        <v>153</v>
      </c>
      <c r="F45" s="195" t="s">
        <v>154</v>
      </c>
      <c r="G45" s="195" t="s">
        <v>155</v>
      </c>
      <c r="H45" s="196" t="s">
        <v>156</v>
      </c>
      <c r="I45" s="196" t="s">
        <v>157</v>
      </c>
      <c r="J45" s="196" t="s">
        <v>167</v>
      </c>
      <c r="K45" s="196" t="s">
        <v>159</v>
      </c>
      <c r="L45" s="196" t="s">
        <v>197</v>
      </c>
      <c r="M45" s="216" t="s">
        <v>160</v>
      </c>
      <c r="N45" s="196" t="s">
        <v>172</v>
      </c>
      <c r="O45" s="196" t="s">
        <v>183</v>
      </c>
      <c r="P45" s="196"/>
      <c r="Q45" s="196">
        <v>791920</v>
      </c>
      <c r="R45" s="196"/>
      <c r="S45" s="196"/>
      <c r="T45" s="196"/>
      <c r="U45" s="196" t="s">
        <v>162</v>
      </c>
      <c r="V45" s="196"/>
      <c r="W45" s="196"/>
      <c r="X45" s="196"/>
      <c r="Y45" s="196"/>
      <c r="Z45" s="199"/>
      <c r="AA45" s="199"/>
      <c r="AB45" s="210"/>
      <c r="AC45" s="210"/>
    </row>
    <row r="46" spans="1:29" ht="33.75">
      <c r="A46" s="200">
        <v>43</v>
      </c>
      <c r="B46" s="194" t="s">
        <v>150</v>
      </c>
      <c r="C46" s="195" t="s">
        <v>151</v>
      </c>
      <c r="D46" s="195" t="s">
        <v>152</v>
      </c>
      <c r="E46" s="209" t="s">
        <v>153</v>
      </c>
      <c r="F46" s="195" t="s">
        <v>154</v>
      </c>
      <c r="G46" s="195" t="s">
        <v>155</v>
      </c>
      <c r="H46" s="196" t="s">
        <v>156</v>
      </c>
      <c r="I46" s="196" t="s">
        <v>157</v>
      </c>
      <c r="J46" s="196" t="s">
        <v>167</v>
      </c>
      <c r="K46" s="196" t="s">
        <v>159</v>
      </c>
      <c r="L46" s="196" t="s">
        <v>198</v>
      </c>
      <c r="M46" s="216" t="s">
        <v>160</v>
      </c>
      <c r="N46" s="196" t="s">
        <v>172</v>
      </c>
      <c r="O46" s="196" t="s">
        <v>180</v>
      </c>
      <c r="P46" s="196"/>
      <c r="Q46" s="196">
        <v>791920</v>
      </c>
      <c r="R46" s="196"/>
      <c r="S46" s="196"/>
      <c r="T46" s="196"/>
      <c r="U46" s="196" t="s">
        <v>162</v>
      </c>
      <c r="V46" s="196"/>
      <c r="W46" s="196"/>
      <c r="X46" s="196"/>
      <c r="Y46" s="196"/>
      <c r="Z46" s="199"/>
      <c r="AA46" s="199"/>
      <c r="AB46" s="210"/>
      <c r="AC46" s="210"/>
    </row>
    <row r="47" spans="1:29" ht="33.75">
      <c r="A47" s="200">
        <v>44</v>
      </c>
      <c r="B47" s="194" t="s">
        <v>150</v>
      </c>
      <c r="C47" s="195" t="s">
        <v>151</v>
      </c>
      <c r="D47" s="195" t="s">
        <v>152</v>
      </c>
      <c r="E47" s="209" t="s">
        <v>153</v>
      </c>
      <c r="F47" s="195" t="s">
        <v>154</v>
      </c>
      <c r="G47" s="195" t="s">
        <v>155</v>
      </c>
      <c r="H47" s="196" t="s">
        <v>156</v>
      </c>
      <c r="I47" s="196" t="s">
        <v>157</v>
      </c>
      <c r="J47" s="196" t="s">
        <v>167</v>
      </c>
      <c r="K47" s="196" t="s">
        <v>159</v>
      </c>
      <c r="L47" s="196" t="s">
        <v>195</v>
      </c>
      <c r="M47" s="216" t="s">
        <v>160</v>
      </c>
      <c r="N47" s="196" t="s">
        <v>181</v>
      </c>
      <c r="O47" s="196" t="s">
        <v>173</v>
      </c>
      <c r="P47" s="196"/>
      <c r="Q47" s="196">
        <v>791920</v>
      </c>
      <c r="R47" s="196"/>
      <c r="S47" s="196"/>
      <c r="T47" s="196"/>
      <c r="U47" s="196" t="s">
        <v>162</v>
      </c>
      <c r="V47" s="196"/>
      <c r="W47" s="196"/>
      <c r="X47" s="196"/>
      <c r="Y47" s="196"/>
      <c r="Z47" s="199"/>
      <c r="AA47" s="199"/>
      <c r="AB47" s="210"/>
      <c r="AC47" s="210"/>
    </row>
    <row r="48" spans="1:29" ht="33.75">
      <c r="A48" s="200">
        <v>45</v>
      </c>
      <c r="B48" s="194" t="s">
        <v>150</v>
      </c>
      <c r="C48" s="195" t="s">
        <v>151</v>
      </c>
      <c r="D48" s="195" t="s">
        <v>152</v>
      </c>
      <c r="E48" s="209" t="s">
        <v>153</v>
      </c>
      <c r="F48" s="195" t="s">
        <v>154</v>
      </c>
      <c r="G48" s="195" t="s">
        <v>155</v>
      </c>
      <c r="H48" s="196" t="s">
        <v>156</v>
      </c>
      <c r="I48" s="196" t="s">
        <v>157</v>
      </c>
      <c r="J48" s="196" t="s">
        <v>167</v>
      </c>
      <c r="K48" s="196" t="s">
        <v>159</v>
      </c>
      <c r="L48" s="196" t="s">
        <v>196</v>
      </c>
      <c r="M48" s="216" t="s">
        <v>160</v>
      </c>
      <c r="N48" s="196" t="s">
        <v>181</v>
      </c>
      <c r="O48" s="196" t="s">
        <v>173</v>
      </c>
      <c r="P48" s="196"/>
      <c r="Q48" s="196">
        <v>791920</v>
      </c>
      <c r="R48" s="196"/>
      <c r="S48" s="196"/>
      <c r="T48" s="196"/>
      <c r="U48" s="196" t="s">
        <v>162</v>
      </c>
      <c r="V48" s="196"/>
      <c r="W48" s="196"/>
      <c r="X48" s="196"/>
      <c r="Y48" s="196"/>
      <c r="Z48" s="199"/>
      <c r="AA48" s="199"/>
      <c r="AB48" s="210"/>
      <c r="AC48" s="210"/>
    </row>
    <row r="49" spans="1:29" ht="33.75">
      <c r="A49" s="200">
        <v>46</v>
      </c>
      <c r="B49" s="194" t="s">
        <v>150</v>
      </c>
      <c r="C49" s="195" t="s">
        <v>151</v>
      </c>
      <c r="D49" s="195" t="s">
        <v>152</v>
      </c>
      <c r="E49" s="209" t="s">
        <v>153</v>
      </c>
      <c r="F49" s="195" t="s">
        <v>154</v>
      </c>
      <c r="G49" s="195" t="s">
        <v>155</v>
      </c>
      <c r="H49" s="196" t="s">
        <v>156</v>
      </c>
      <c r="I49" s="196" t="s">
        <v>157</v>
      </c>
      <c r="J49" s="196" t="s">
        <v>167</v>
      </c>
      <c r="K49" s="196" t="s">
        <v>159</v>
      </c>
      <c r="L49" s="196" t="s">
        <v>197</v>
      </c>
      <c r="M49" s="216" t="s">
        <v>160</v>
      </c>
      <c r="N49" s="196" t="s">
        <v>181</v>
      </c>
      <c r="O49" s="196" t="s">
        <v>173</v>
      </c>
      <c r="P49" s="196"/>
      <c r="Q49" s="196">
        <v>791920</v>
      </c>
      <c r="R49" s="196"/>
      <c r="S49" s="196"/>
      <c r="T49" s="196"/>
      <c r="U49" s="196" t="s">
        <v>162</v>
      </c>
      <c r="V49" s="196"/>
      <c r="W49" s="196"/>
      <c r="X49" s="196"/>
      <c r="Y49" s="196"/>
      <c r="Z49" s="199"/>
      <c r="AA49" s="199"/>
      <c r="AB49" s="210"/>
      <c r="AC49" s="210"/>
    </row>
    <row r="50" spans="1:29" ht="33.75">
      <c r="A50" s="200">
        <v>47</v>
      </c>
      <c r="B50" s="194" t="s">
        <v>150</v>
      </c>
      <c r="C50" s="195" t="s">
        <v>151</v>
      </c>
      <c r="D50" s="195" t="s">
        <v>152</v>
      </c>
      <c r="E50" s="209" t="s">
        <v>153</v>
      </c>
      <c r="F50" s="195" t="s">
        <v>154</v>
      </c>
      <c r="G50" s="195" t="s">
        <v>155</v>
      </c>
      <c r="H50" s="196" t="s">
        <v>156</v>
      </c>
      <c r="I50" s="196" t="s">
        <v>157</v>
      </c>
      <c r="J50" s="196" t="s">
        <v>167</v>
      </c>
      <c r="K50" s="196" t="s">
        <v>159</v>
      </c>
      <c r="L50" s="196" t="s">
        <v>198</v>
      </c>
      <c r="M50" s="216" t="s">
        <v>160</v>
      </c>
      <c r="N50" s="196" t="s">
        <v>181</v>
      </c>
      <c r="O50" s="196" t="s">
        <v>180</v>
      </c>
      <c r="P50" s="196"/>
      <c r="Q50" s="196">
        <v>791920</v>
      </c>
      <c r="R50" s="196"/>
      <c r="S50" s="196"/>
      <c r="T50" s="196"/>
      <c r="U50" s="196" t="s">
        <v>162</v>
      </c>
      <c r="V50" s="196"/>
      <c r="W50" s="196"/>
      <c r="X50" s="196"/>
      <c r="Y50" s="196"/>
      <c r="Z50" s="199"/>
      <c r="AA50" s="199"/>
      <c r="AB50" s="210"/>
      <c r="AC50" s="210"/>
    </row>
    <row r="51" spans="1:29" ht="33.75">
      <c r="A51" s="200">
        <v>48</v>
      </c>
      <c r="B51" s="194" t="s">
        <v>150</v>
      </c>
      <c r="C51" s="195" t="s">
        <v>151</v>
      </c>
      <c r="D51" s="195" t="s">
        <v>152</v>
      </c>
      <c r="E51" s="209" t="s">
        <v>153</v>
      </c>
      <c r="F51" s="195" t="s">
        <v>154</v>
      </c>
      <c r="G51" s="195" t="s">
        <v>155</v>
      </c>
      <c r="H51" s="196" t="s">
        <v>156</v>
      </c>
      <c r="I51" s="196" t="s">
        <v>157</v>
      </c>
      <c r="J51" s="196" t="s">
        <v>169</v>
      </c>
      <c r="K51" s="196" t="s">
        <v>159</v>
      </c>
      <c r="L51" s="196" t="s">
        <v>199</v>
      </c>
      <c r="M51" s="216" t="s">
        <v>160</v>
      </c>
      <c r="N51" s="196" t="s">
        <v>172</v>
      </c>
      <c r="O51" s="196" t="s">
        <v>183</v>
      </c>
      <c r="P51" s="196"/>
      <c r="Q51" s="196">
        <v>791920</v>
      </c>
      <c r="R51" s="196"/>
      <c r="S51" s="196"/>
      <c r="T51" s="196"/>
      <c r="U51" s="196" t="s">
        <v>162</v>
      </c>
      <c r="V51" s="196"/>
      <c r="W51" s="196"/>
      <c r="X51" s="196"/>
      <c r="Y51" s="196"/>
      <c r="Z51" s="199"/>
      <c r="AA51" s="199"/>
      <c r="AB51" s="210"/>
      <c r="AC51" s="210"/>
    </row>
    <row r="52" spans="1:29" ht="33.75">
      <c r="A52" s="200">
        <v>49</v>
      </c>
      <c r="B52" s="194" t="s">
        <v>150</v>
      </c>
      <c r="C52" s="195" t="s">
        <v>151</v>
      </c>
      <c r="D52" s="195" t="s">
        <v>152</v>
      </c>
      <c r="E52" s="209" t="s">
        <v>153</v>
      </c>
      <c r="F52" s="195" t="s">
        <v>154</v>
      </c>
      <c r="G52" s="195" t="s">
        <v>155</v>
      </c>
      <c r="H52" s="196" t="s">
        <v>156</v>
      </c>
      <c r="I52" s="196" t="s">
        <v>157</v>
      </c>
      <c r="J52" s="196" t="s">
        <v>169</v>
      </c>
      <c r="K52" s="196" t="s">
        <v>159</v>
      </c>
      <c r="L52" s="196" t="s">
        <v>200</v>
      </c>
      <c r="M52" s="216" t="s">
        <v>160</v>
      </c>
      <c r="N52" s="196" t="s">
        <v>172</v>
      </c>
      <c r="O52" s="196" t="s">
        <v>180</v>
      </c>
      <c r="P52" s="196"/>
      <c r="Q52" s="196">
        <v>791920</v>
      </c>
      <c r="R52" s="196"/>
      <c r="S52" s="196"/>
      <c r="T52" s="196"/>
      <c r="U52" s="196" t="s">
        <v>162</v>
      </c>
      <c r="V52" s="196"/>
      <c r="W52" s="196"/>
      <c r="X52" s="196"/>
      <c r="Y52" s="196"/>
      <c r="Z52" s="199"/>
      <c r="AA52" s="199"/>
      <c r="AB52" s="210"/>
      <c r="AC52" s="210"/>
    </row>
    <row r="53" spans="1:29" ht="33.75">
      <c r="A53" s="200">
        <v>50</v>
      </c>
      <c r="B53" s="194" t="s">
        <v>150</v>
      </c>
      <c r="C53" s="195" t="s">
        <v>151</v>
      </c>
      <c r="D53" s="195" t="s">
        <v>152</v>
      </c>
      <c r="E53" s="209" t="s">
        <v>153</v>
      </c>
      <c r="F53" s="195" t="s">
        <v>154</v>
      </c>
      <c r="G53" s="195" t="s">
        <v>155</v>
      </c>
      <c r="H53" s="196" t="s">
        <v>156</v>
      </c>
      <c r="I53" s="196" t="s">
        <v>157</v>
      </c>
      <c r="J53" s="196" t="s">
        <v>169</v>
      </c>
      <c r="K53" s="196" t="s">
        <v>159</v>
      </c>
      <c r="L53" s="196" t="s">
        <v>199</v>
      </c>
      <c r="M53" s="216" t="s">
        <v>160</v>
      </c>
      <c r="N53" s="196" t="s">
        <v>181</v>
      </c>
      <c r="O53" s="196" t="s">
        <v>173</v>
      </c>
      <c r="P53" s="196"/>
      <c r="Q53" s="196">
        <v>791920</v>
      </c>
      <c r="R53" s="196"/>
      <c r="S53" s="196"/>
      <c r="T53" s="196"/>
      <c r="U53" s="196" t="s">
        <v>162</v>
      </c>
      <c r="V53" s="196"/>
      <c r="W53" s="196"/>
      <c r="X53" s="196"/>
      <c r="Y53" s="196"/>
      <c r="Z53" s="199"/>
      <c r="AA53" s="199"/>
      <c r="AB53" s="210"/>
      <c r="AC53" s="210"/>
    </row>
    <row r="54" spans="1:29" ht="33.75">
      <c r="A54" s="200">
        <v>51</v>
      </c>
      <c r="B54" s="194" t="s">
        <v>150</v>
      </c>
      <c r="C54" s="195" t="s">
        <v>151</v>
      </c>
      <c r="D54" s="195" t="s">
        <v>152</v>
      </c>
      <c r="E54" s="209" t="s">
        <v>153</v>
      </c>
      <c r="F54" s="195" t="s">
        <v>154</v>
      </c>
      <c r="G54" s="195" t="s">
        <v>155</v>
      </c>
      <c r="H54" s="196" t="s">
        <v>156</v>
      </c>
      <c r="I54" s="196" t="s">
        <v>157</v>
      </c>
      <c r="J54" s="196" t="s">
        <v>169</v>
      </c>
      <c r="K54" s="196" t="s">
        <v>159</v>
      </c>
      <c r="L54" s="196" t="s">
        <v>200</v>
      </c>
      <c r="M54" s="216" t="s">
        <v>160</v>
      </c>
      <c r="N54" s="196" t="s">
        <v>181</v>
      </c>
      <c r="O54" s="196" t="s">
        <v>180</v>
      </c>
      <c r="P54" s="196"/>
      <c r="Q54" s="196">
        <v>791920</v>
      </c>
      <c r="R54" s="196"/>
      <c r="S54" s="196"/>
      <c r="T54" s="196"/>
      <c r="U54" s="196" t="s">
        <v>162</v>
      </c>
      <c r="V54" s="196"/>
      <c r="W54" s="196"/>
      <c r="X54" s="196"/>
      <c r="Y54" s="196"/>
      <c r="Z54" s="199"/>
      <c r="AA54" s="199"/>
      <c r="AB54" s="210"/>
      <c r="AC54" s="210"/>
    </row>
    <row r="55" spans="1:29" ht="33.75">
      <c r="A55" s="200">
        <v>52</v>
      </c>
      <c r="B55" s="194" t="s">
        <v>150</v>
      </c>
      <c r="C55" s="195" t="s">
        <v>151</v>
      </c>
      <c r="D55" s="195" t="s">
        <v>152</v>
      </c>
      <c r="E55" s="209" t="s">
        <v>153</v>
      </c>
      <c r="F55" s="195" t="s">
        <v>154</v>
      </c>
      <c r="G55" s="195" t="s">
        <v>155</v>
      </c>
      <c r="H55" s="196" t="s">
        <v>156</v>
      </c>
      <c r="I55" s="196" t="s">
        <v>157</v>
      </c>
      <c r="J55" s="196" t="s">
        <v>169</v>
      </c>
      <c r="K55" s="196" t="s">
        <v>159</v>
      </c>
      <c r="L55" s="196" t="s">
        <v>201</v>
      </c>
      <c r="M55" s="216" t="s">
        <v>160</v>
      </c>
      <c r="N55" s="196" t="s">
        <v>172</v>
      </c>
      <c r="O55" s="196" t="s">
        <v>173</v>
      </c>
      <c r="P55" s="196"/>
      <c r="Q55" s="196">
        <v>791920</v>
      </c>
      <c r="R55" s="196"/>
      <c r="S55" s="196"/>
      <c r="T55" s="196"/>
      <c r="U55" s="196" t="s">
        <v>162</v>
      </c>
      <c r="V55" s="196"/>
      <c r="W55" s="196"/>
      <c r="X55" s="196"/>
      <c r="Y55" s="196"/>
      <c r="Z55" s="199"/>
      <c r="AA55" s="199"/>
      <c r="AB55" s="210"/>
      <c r="AC55" s="210"/>
    </row>
    <row r="56" spans="1:29" ht="33.75">
      <c r="A56" s="200">
        <v>53</v>
      </c>
      <c r="B56" s="194" t="s">
        <v>150</v>
      </c>
      <c r="C56" s="195" t="s">
        <v>151</v>
      </c>
      <c r="D56" s="195" t="s">
        <v>152</v>
      </c>
      <c r="E56" s="209" t="s">
        <v>153</v>
      </c>
      <c r="F56" s="195" t="s">
        <v>154</v>
      </c>
      <c r="G56" s="195" t="s">
        <v>155</v>
      </c>
      <c r="H56" s="196" t="s">
        <v>156</v>
      </c>
      <c r="I56" s="196" t="s">
        <v>157</v>
      </c>
      <c r="J56" s="196" t="s">
        <v>169</v>
      </c>
      <c r="K56" s="196" t="s">
        <v>159</v>
      </c>
      <c r="L56" s="196" t="s">
        <v>202</v>
      </c>
      <c r="M56" s="216" t="s">
        <v>160</v>
      </c>
      <c r="N56" s="196" t="s">
        <v>172</v>
      </c>
      <c r="O56" s="196" t="s">
        <v>173</v>
      </c>
      <c r="P56" s="196"/>
      <c r="Q56" s="196">
        <v>791920</v>
      </c>
      <c r="R56" s="196"/>
      <c r="S56" s="196"/>
      <c r="T56" s="196"/>
      <c r="U56" s="196" t="s">
        <v>162</v>
      </c>
      <c r="V56" s="196"/>
      <c r="W56" s="196"/>
      <c r="X56" s="196"/>
      <c r="Y56" s="196"/>
      <c r="Z56" s="199"/>
      <c r="AA56" s="199"/>
      <c r="AB56" s="210"/>
      <c r="AC56" s="210"/>
    </row>
    <row r="57" spans="1:29" ht="33.75">
      <c r="A57" s="200">
        <v>54</v>
      </c>
      <c r="B57" s="194" t="s">
        <v>150</v>
      </c>
      <c r="C57" s="195" t="s">
        <v>151</v>
      </c>
      <c r="D57" s="195" t="s">
        <v>152</v>
      </c>
      <c r="E57" s="209" t="s">
        <v>153</v>
      </c>
      <c r="F57" s="195" t="s">
        <v>154</v>
      </c>
      <c r="G57" s="195" t="s">
        <v>155</v>
      </c>
      <c r="H57" s="196" t="s">
        <v>156</v>
      </c>
      <c r="I57" s="196" t="s">
        <v>157</v>
      </c>
      <c r="J57" s="196" t="s">
        <v>169</v>
      </c>
      <c r="K57" s="196" t="s">
        <v>159</v>
      </c>
      <c r="L57" s="196" t="s">
        <v>203</v>
      </c>
      <c r="M57" s="216" t="s">
        <v>160</v>
      </c>
      <c r="N57" s="196" t="s">
        <v>172</v>
      </c>
      <c r="O57" s="196" t="s">
        <v>173</v>
      </c>
      <c r="P57" s="196"/>
      <c r="Q57" s="196">
        <v>791920</v>
      </c>
      <c r="R57" s="196"/>
      <c r="S57" s="196"/>
      <c r="T57" s="196"/>
      <c r="U57" s="196" t="s">
        <v>162</v>
      </c>
      <c r="V57" s="196"/>
      <c r="W57" s="196"/>
      <c r="X57" s="196"/>
      <c r="Y57" s="196"/>
      <c r="Z57" s="199"/>
      <c r="AA57" s="199"/>
      <c r="AB57" s="210"/>
      <c r="AC57" s="210"/>
    </row>
    <row r="58" spans="1:29" ht="33.75">
      <c r="A58" s="200">
        <v>55</v>
      </c>
      <c r="B58" s="194" t="s">
        <v>150</v>
      </c>
      <c r="C58" s="195" t="s">
        <v>151</v>
      </c>
      <c r="D58" s="195" t="s">
        <v>152</v>
      </c>
      <c r="E58" s="209" t="s">
        <v>153</v>
      </c>
      <c r="F58" s="195" t="s">
        <v>154</v>
      </c>
      <c r="G58" s="195" t="s">
        <v>155</v>
      </c>
      <c r="H58" s="196" t="s">
        <v>156</v>
      </c>
      <c r="I58" s="196" t="s">
        <v>157</v>
      </c>
      <c r="J58" s="196" t="s">
        <v>169</v>
      </c>
      <c r="K58" s="196" t="s">
        <v>159</v>
      </c>
      <c r="L58" s="196" t="s">
        <v>201</v>
      </c>
      <c r="M58" s="216" t="s">
        <v>160</v>
      </c>
      <c r="N58" s="196" t="s">
        <v>181</v>
      </c>
      <c r="O58" s="196" t="s">
        <v>173</v>
      </c>
      <c r="P58" s="196"/>
      <c r="Q58" s="196">
        <v>791920</v>
      </c>
      <c r="R58" s="196"/>
      <c r="S58" s="196"/>
      <c r="T58" s="196"/>
      <c r="U58" s="196" t="s">
        <v>162</v>
      </c>
      <c r="V58" s="196"/>
      <c r="W58" s="196"/>
      <c r="X58" s="196"/>
      <c r="Y58" s="196"/>
      <c r="Z58" s="199"/>
      <c r="AA58" s="199"/>
      <c r="AB58" s="210"/>
      <c r="AC58" s="210"/>
    </row>
    <row r="59" spans="1:29" ht="33.75">
      <c r="A59" s="200">
        <v>56</v>
      </c>
      <c r="B59" s="194" t="s">
        <v>150</v>
      </c>
      <c r="C59" s="195" t="s">
        <v>151</v>
      </c>
      <c r="D59" s="195" t="s">
        <v>152</v>
      </c>
      <c r="E59" s="209" t="s">
        <v>153</v>
      </c>
      <c r="F59" s="195" t="s">
        <v>154</v>
      </c>
      <c r="G59" s="195" t="s">
        <v>155</v>
      </c>
      <c r="H59" s="196" t="s">
        <v>156</v>
      </c>
      <c r="I59" s="196" t="s">
        <v>157</v>
      </c>
      <c r="J59" s="196" t="s">
        <v>169</v>
      </c>
      <c r="K59" s="196" t="s">
        <v>159</v>
      </c>
      <c r="L59" s="196" t="s">
        <v>202</v>
      </c>
      <c r="M59" s="216" t="s">
        <v>160</v>
      </c>
      <c r="N59" s="196" t="s">
        <v>181</v>
      </c>
      <c r="O59" s="196" t="s">
        <v>173</v>
      </c>
      <c r="P59" s="196"/>
      <c r="Q59" s="196">
        <v>791920</v>
      </c>
      <c r="R59" s="196"/>
      <c r="S59" s="196"/>
      <c r="T59" s="196"/>
      <c r="U59" s="196" t="s">
        <v>162</v>
      </c>
      <c r="V59" s="196"/>
      <c r="W59" s="196"/>
      <c r="X59" s="196"/>
      <c r="Y59" s="196"/>
      <c r="Z59" s="199"/>
      <c r="AA59" s="199"/>
      <c r="AB59" s="210"/>
      <c r="AC59" s="210"/>
    </row>
    <row r="60" spans="1:29" ht="33.75">
      <c r="A60" s="200">
        <v>57</v>
      </c>
      <c r="B60" s="194" t="s">
        <v>150</v>
      </c>
      <c r="C60" s="195" t="s">
        <v>151</v>
      </c>
      <c r="D60" s="195" t="s">
        <v>152</v>
      </c>
      <c r="E60" s="209" t="s">
        <v>153</v>
      </c>
      <c r="F60" s="195" t="s">
        <v>154</v>
      </c>
      <c r="G60" s="195" t="s">
        <v>155</v>
      </c>
      <c r="H60" s="196" t="s">
        <v>156</v>
      </c>
      <c r="I60" s="196" t="s">
        <v>157</v>
      </c>
      <c r="J60" s="196" t="s">
        <v>169</v>
      </c>
      <c r="K60" s="196" t="s">
        <v>159</v>
      </c>
      <c r="L60" s="196" t="s">
        <v>203</v>
      </c>
      <c r="M60" s="216" t="s">
        <v>160</v>
      </c>
      <c r="N60" s="196" t="s">
        <v>181</v>
      </c>
      <c r="O60" s="196" t="s">
        <v>173</v>
      </c>
      <c r="P60" s="196"/>
      <c r="Q60" s="196">
        <v>791920</v>
      </c>
      <c r="R60" s="196"/>
      <c r="S60" s="196"/>
      <c r="T60" s="196"/>
      <c r="U60" s="196" t="s">
        <v>162</v>
      </c>
      <c r="V60" s="196"/>
      <c r="W60" s="196"/>
      <c r="X60" s="196"/>
      <c r="Y60" s="196"/>
      <c r="Z60" s="199"/>
      <c r="AA60" s="199"/>
      <c r="AB60" s="210"/>
      <c r="AC60" s="210"/>
    </row>
    <row r="61" spans="1:29" ht="45">
      <c r="A61" s="200">
        <v>58</v>
      </c>
      <c r="B61" s="194" t="s">
        <v>150</v>
      </c>
      <c r="C61" s="195" t="s">
        <v>151</v>
      </c>
      <c r="D61" s="195" t="s">
        <v>152</v>
      </c>
      <c r="E61" s="209" t="s">
        <v>153</v>
      </c>
      <c r="F61" s="195" t="s">
        <v>154</v>
      </c>
      <c r="G61" s="195" t="s">
        <v>155</v>
      </c>
      <c r="H61" s="196" t="s">
        <v>156</v>
      </c>
      <c r="I61" s="196" t="s">
        <v>157</v>
      </c>
      <c r="J61" s="196" t="s">
        <v>204</v>
      </c>
      <c r="K61" s="196" t="s">
        <v>159</v>
      </c>
      <c r="L61" s="196"/>
      <c r="M61" s="216" t="s">
        <v>205</v>
      </c>
      <c r="N61" s="196"/>
      <c r="O61" s="196" t="s">
        <v>206</v>
      </c>
      <c r="P61" s="196"/>
      <c r="Q61" s="196">
        <v>791920</v>
      </c>
      <c r="R61" s="196"/>
      <c r="S61" s="196"/>
      <c r="T61" s="196"/>
      <c r="U61" s="196" t="s">
        <v>162</v>
      </c>
      <c r="V61" s="196"/>
      <c r="W61" s="196"/>
      <c r="X61" s="196"/>
      <c r="Y61" s="196"/>
      <c r="Z61" s="199"/>
      <c r="AA61" s="199"/>
      <c r="AB61" s="210"/>
      <c r="AC61" s="210"/>
    </row>
    <row r="62" spans="1:29" ht="45">
      <c r="A62" s="200">
        <v>59</v>
      </c>
      <c r="B62" s="194" t="s">
        <v>150</v>
      </c>
      <c r="C62" s="195" t="s">
        <v>151</v>
      </c>
      <c r="D62" s="195" t="s">
        <v>152</v>
      </c>
      <c r="E62" s="209" t="s">
        <v>153</v>
      </c>
      <c r="F62" s="195" t="s">
        <v>154</v>
      </c>
      <c r="G62" s="195" t="s">
        <v>155</v>
      </c>
      <c r="H62" s="196" t="s">
        <v>156</v>
      </c>
      <c r="I62" s="196" t="s">
        <v>157</v>
      </c>
      <c r="J62" s="196" t="s">
        <v>207</v>
      </c>
      <c r="K62" s="196" t="s">
        <v>159</v>
      </c>
      <c r="L62" s="196"/>
      <c r="M62" s="216" t="s">
        <v>205</v>
      </c>
      <c r="N62" s="196"/>
      <c r="O62" s="196" t="s">
        <v>206</v>
      </c>
      <c r="P62" s="196"/>
      <c r="Q62" s="196">
        <v>791920</v>
      </c>
      <c r="R62" s="196"/>
      <c r="S62" s="196"/>
      <c r="T62" s="196"/>
      <c r="U62" s="196" t="s">
        <v>162</v>
      </c>
      <c r="V62" s="196"/>
      <c r="W62" s="196"/>
      <c r="X62" s="196"/>
      <c r="Y62" s="196"/>
      <c r="Z62" s="199"/>
      <c r="AA62" s="199"/>
      <c r="AB62" s="210"/>
      <c r="AC62" s="210"/>
    </row>
    <row r="63" spans="1:29" ht="45">
      <c r="A63" s="200">
        <v>60</v>
      </c>
      <c r="B63" s="194" t="s">
        <v>150</v>
      </c>
      <c r="C63" s="195" t="s">
        <v>151</v>
      </c>
      <c r="D63" s="195" t="s">
        <v>152</v>
      </c>
      <c r="E63" s="209" t="s">
        <v>153</v>
      </c>
      <c r="F63" s="195" t="s">
        <v>154</v>
      </c>
      <c r="G63" s="195" t="s">
        <v>155</v>
      </c>
      <c r="H63" s="196" t="s">
        <v>156</v>
      </c>
      <c r="I63" s="196" t="s">
        <v>157</v>
      </c>
      <c r="J63" s="196" t="s">
        <v>204</v>
      </c>
      <c r="K63" s="196" t="s">
        <v>159</v>
      </c>
      <c r="L63" s="196"/>
      <c r="M63" s="216" t="s">
        <v>205</v>
      </c>
      <c r="N63" s="196"/>
      <c r="O63" s="196" t="s">
        <v>208</v>
      </c>
      <c r="P63" s="196"/>
      <c r="Q63" s="196">
        <v>791920</v>
      </c>
      <c r="R63" s="196"/>
      <c r="S63" s="196"/>
      <c r="T63" s="196"/>
      <c r="U63" s="196" t="s">
        <v>162</v>
      </c>
      <c r="V63" s="196"/>
      <c r="W63" s="196"/>
      <c r="X63" s="196"/>
      <c r="Y63" s="196"/>
      <c r="Z63" s="199"/>
      <c r="AA63" s="199"/>
      <c r="AB63" s="210"/>
      <c r="AC63" s="210"/>
    </row>
    <row r="64" spans="1:29" ht="45">
      <c r="A64" s="200">
        <v>61</v>
      </c>
      <c r="B64" s="194" t="s">
        <v>150</v>
      </c>
      <c r="C64" s="195" t="s">
        <v>151</v>
      </c>
      <c r="D64" s="195" t="s">
        <v>152</v>
      </c>
      <c r="E64" s="209" t="s">
        <v>153</v>
      </c>
      <c r="F64" s="195" t="s">
        <v>154</v>
      </c>
      <c r="G64" s="195" t="s">
        <v>155</v>
      </c>
      <c r="H64" s="196" t="s">
        <v>156</v>
      </c>
      <c r="I64" s="196" t="s">
        <v>157</v>
      </c>
      <c r="J64" s="196" t="s">
        <v>207</v>
      </c>
      <c r="K64" s="196" t="s">
        <v>159</v>
      </c>
      <c r="L64" s="196"/>
      <c r="M64" s="216" t="s">
        <v>205</v>
      </c>
      <c r="N64" s="196"/>
      <c r="O64" s="196" t="s">
        <v>208</v>
      </c>
      <c r="P64" s="196"/>
      <c r="Q64" s="196">
        <v>791920</v>
      </c>
      <c r="R64" s="196"/>
      <c r="S64" s="196"/>
      <c r="T64" s="196"/>
      <c r="U64" s="196" t="s">
        <v>162</v>
      </c>
      <c r="V64" s="196"/>
      <c r="W64" s="196"/>
      <c r="X64" s="196"/>
      <c r="Y64" s="196"/>
      <c r="Z64" s="199"/>
      <c r="AA64" s="199"/>
      <c r="AB64" s="210"/>
      <c r="AC64" s="210"/>
    </row>
    <row r="65" spans="8:29" ht="18.75"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9"/>
      <c r="AA65" s="199"/>
      <c r="AB65" s="210"/>
      <c r="AC65" s="210"/>
    </row>
    <row r="66" spans="8:29" ht="18.75"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9"/>
      <c r="AA66" s="199"/>
      <c r="AB66" s="210"/>
      <c r="AC66" s="210"/>
    </row>
    <row r="67" spans="8:29" ht="18.75"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9"/>
      <c r="AA67" s="199"/>
      <c r="AB67" s="210"/>
      <c r="AC67" s="210"/>
    </row>
    <row r="68" spans="8:29" ht="18.75"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9"/>
      <c r="AA68" s="199"/>
      <c r="AB68" s="210"/>
      <c r="AC68" s="210"/>
    </row>
    <row r="69" spans="8:29" ht="18.75"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9"/>
      <c r="AA69" s="199"/>
      <c r="AB69" s="210"/>
      <c r="AC69" s="210"/>
    </row>
    <row r="70" spans="8:29" ht="18.75"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9"/>
      <c r="AA70" s="199"/>
      <c r="AB70" s="210"/>
      <c r="AC70" s="210"/>
    </row>
    <row r="71" spans="8:29" ht="18.75"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9"/>
      <c r="AA71" s="199"/>
      <c r="AB71" s="210"/>
      <c r="AC71" s="210"/>
    </row>
    <row r="72" spans="8:29" ht="18.75"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9"/>
      <c r="AA72" s="199"/>
      <c r="AB72" s="210"/>
      <c r="AC72" s="210"/>
    </row>
    <row r="73" spans="8:29" ht="18.75"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199"/>
      <c r="AA73" s="199"/>
      <c r="AB73" s="210"/>
      <c r="AC73" s="210"/>
    </row>
    <row r="74" spans="8:29" ht="18.75"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199"/>
      <c r="AA74" s="199"/>
      <c r="AB74" s="210"/>
      <c r="AC74" s="210"/>
    </row>
    <row r="75" spans="8:29" ht="18.75"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9"/>
      <c r="AA75" s="199"/>
      <c r="AB75" s="210"/>
      <c r="AC75" s="210"/>
    </row>
    <row r="76" spans="8:29" ht="18.75"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199"/>
      <c r="AA76" s="199"/>
      <c r="AB76" s="210"/>
      <c r="AC76" s="210"/>
    </row>
    <row r="77" spans="8:29" ht="18.75"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199"/>
      <c r="AA77" s="199"/>
      <c r="AB77" s="210"/>
      <c r="AC77" s="210"/>
    </row>
    <row r="78" spans="8:29" ht="18.75"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199"/>
      <c r="AA78" s="199"/>
      <c r="AB78" s="210"/>
      <c r="AC78" s="210"/>
    </row>
    <row r="79" spans="8:29" ht="18.75"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199"/>
      <c r="AA79" s="199"/>
      <c r="AB79" s="210"/>
      <c r="AC79" s="210"/>
    </row>
    <row r="80" spans="8:29" ht="18.75"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199"/>
      <c r="AA80" s="199"/>
      <c r="AB80" s="210"/>
      <c r="AC80" s="210"/>
    </row>
    <row r="81" spans="8:29" ht="18.75"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199"/>
      <c r="AA81" s="199"/>
      <c r="AB81" s="210"/>
      <c r="AC81" s="210"/>
    </row>
    <row r="82" spans="8:29" ht="18.75"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199"/>
      <c r="AA82" s="199"/>
      <c r="AB82" s="210"/>
      <c r="AC82" s="210"/>
    </row>
    <row r="83" spans="8:29" ht="18.75"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199"/>
      <c r="AA83" s="199"/>
      <c r="AB83" s="210"/>
      <c r="AC83" s="210"/>
    </row>
    <row r="84" spans="8:29" ht="18.75"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  <c r="S84" s="196"/>
      <c r="T84" s="196"/>
      <c r="U84" s="196"/>
      <c r="V84" s="196"/>
      <c r="W84" s="196"/>
      <c r="X84" s="196"/>
      <c r="Y84" s="196"/>
      <c r="Z84" s="199"/>
      <c r="AA84" s="199"/>
      <c r="AB84" s="210"/>
      <c r="AC84" s="210"/>
    </row>
    <row r="85" spans="8:29" ht="18.75"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  <c r="S85" s="196"/>
      <c r="T85" s="196"/>
      <c r="U85" s="196"/>
      <c r="V85" s="196"/>
      <c r="W85" s="196"/>
      <c r="X85" s="196"/>
      <c r="Y85" s="196"/>
      <c r="Z85" s="199"/>
      <c r="AA85" s="199"/>
      <c r="AB85" s="210"/>
      <c r="AC85" s="210"/>
    </row>
    <row r="86" spans="8:29" ht="18.75"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  <c r="S86" s="196"/>
      <c r="T86" s="196"/>
      <c r="U86" s="196"/>
      <c r="V86" s="196"/>
      <c r="W86" s="196"/>
      <c r="X86" s="196"/>
      <c r="Y86" s="196"/>
      <c r="Z86" s="199"/>
      <c r="AA86" s="199"/>
      <c r="AB86" s="210"/>
      <c r="AC86" s="210"/>
    </row>
    <row r="87" spans="8:29" ht="18.75"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  <c r="S87" s="196"/>
      <c r="T87" s="196"/>
      <c r="U87" s="196"/>
      <c r="V87" s="196"/>
      <c r="W87" s="196"/>
      <c r="X87" s="196"/>
      <c r="Y87" s="196"/>
      <c r="Z87" s="199"/>
      <c r="AA87" s="199"/>
      <c r="AB87" s="210"/>
      <c r="AC87" s="210"/>
    </row>
    <row r="88" spans="8:29" ht="18.75"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9"/>
      <c r="AA88" s="199"/>
      <c r="AB88" s="210"/>
      <c r="AC88" s="210"/>
    </row>
    <row r="89" spans="8:29" ht="18.75"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9"/>
      <c r="AA89" s="199"/>
      <c r="AB89" s="210"/>
      <c r="AC89" s="210"/>
    </row>
    <row r="90" spans="8:29" ht="18.75"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  <c r="S90" s="196"/>
      <c r="T90" s="196"/>
      <c r="U90" s="196"/>
      <c r="V90" s="196"/>
      <c r="W90" s="196"/>
      <c r="X90" s="196"/>
      <c r="Y90" s="196"/>
      <c r="Z90" s="199"/>
      <c r="AA90" s="199"/>
      <c r="AB90" s="210"/>
      <c r="AC90" s="210"/>
    </row>
    <row r="91" spans="8:29" ht="18.75"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  <c r="S91" s="196"/>
      <c r="T91" s="196"/>
      <c r="U91" s="196"/>
      <c r="V91" s="196"/>
      <c r="W91" s="196"/>
      <c r="X91" s="196"/>
      <c r="Y91" s="196"/>
      <c r="Z91" s="199"/>
      <c r="AA91" s="199"/>
      <c r="AB91" s="210"/>
      <c r="AC91" s="210"/>
    </row>
    <row r="92" spans="8:29" ht="18.75">
      <c r="H92" s="196"/>
      <c r="I92" s="196"/>
      <c r="J92" s="196"/>
      <c r="K92" s="196"/>
      <c r="L92" s="196"/>
      <c r="M92" s="196"/>
      <c r="N92" s="196"/>
      <c r="O92" s="196"/>
      <c r="P92" s="196"/>
      <c r="Q92" s="196"/>
      <c r="R92" s="196"/>
      <c r="S92" s="196"/>
      <c r="T92" s="196"/>
      <c r="U92" s="196"/>
      <c r="V92" s="196"/>
      <c r="W92" s="196"/>
      <c r="X92" s="196"/>
      <c r="Y92" s="196"/>
      <c r="Z92" s="199"/>
      <c r="AA92" s="199"/>
      <c r="AB92" s="210"/>
      <c r="AC92" s="210"/>
    </row>
    <row r="93" spans="8:29" ht="18.75">
      <c r="H93" s="196"/>
      <c r="I93" s="196"/>
      <c r="J93" s="196"/>
      <c r="K93" s="196"/>
      <c r="L93" s="196"/>
      <c r="M93" s="196"/>
      <c r="N93" s="196"/>
      <c r="O93" s="196"/>
      <c r="P93" s="196"/>
      <c r="Q93" s="196"/>
      <c r="R93" s="196"/>
      <c r="S93" s="196"/>
      <c r="T93" s="196"/>
      <c r="U93" s="196"/>
      <c r="V93" s="196"/>
      <c r="W93" s="196"/>
      <c r="X93" s="196"/>
      <c r="Y93" s="196"/>
      <c r="Z93" s="199"/>
      <c r="AA93" s="199"/>
      <c r="AB93" s="210"/>
      <c r="AC93" s="210"/>
    </row>
    <row r="94" spans="8:29" ht="18.75">
      <c r="H94" s="196"/>
      <c r="I94" s="196"/>
      <c r="J94" s="196"/>
      <c r="K94" s="196"/>
      <c r="L94" s="19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9"/>
      <c r="AA94" s="199"/>
      <c r="AB94" s="210"/>
      <c r="AC94" s="210"/>
    </row>
    <row r="95" spans="8:29" ht="18.75">
      <c r="H95" s="196"/>
      <c r="I95" s="196"/>
      <c r="J95" s="196"/>
      <c r="K95" s="196"/>
      <c r="L95" s="196"/>
      <c r="M95" s="196"/>
      <c r="N95" s="196"/>
      <c r="O95" s="196"/>
      <c r="P95" s="196"/>
      <c r="Q95" s="196"/>
      <c r="R95" s="196"/>
      <c r="S95" s="196"/>
      <c r="T95" s="196"/>
      <c r="U95" s="196"/>
      <c r="V95" s="196"/>
      <c r="W95" s="196"/>
      <c r="X95" s="196"/>
      <c r="Y95" s="196"/>
      <c r="Z95" s="199"/>
      <c r="AA95" s="199"/>
      <c r="AB95" s="210"/>
      <c r="AC95" s="210"/>
    </row>
    <row r="96" spans="8:29" ht="18.75">
      <c r="H96" s="196"/>
      <c r="I96" s="196"/>
      <c r="J96" s="196"/>
      <c r="K96" s="196"/>
      <c r="L96" s="196"/>
      <c r="M96" s="196"/>
      <c r="N96" s="196"/>
      <c r="O96" s="196"/>
      <c r="P96" s="196"/>
      <c r="Q96" s="196"/>
      <c r="R96" s="196"/>
      <c r="S96" s="196"/>
      <c r="T96" s="196"/>
      <c r="U96" s="196"/>
      <c r="V96" s="196"/>
      <c r="W96" s="196"/>
      <c r="X96" s="196"/>
      <c r="Y96" s="196"/>
      <c r="Z96" s="199"/>
      <c r="AA96" s="199"/>
      <c r="AB96" s="210"/>
      <c r="AC96" s="210"/>
    </row>
    <row r="97" spans="8:29" ht="18.75">
      <c r="H97" s="196"/>
      <c r="I97" s="196"/>
      <c r="J97" s="196"/>
      <c r="K97" s="196"/>
      <c r="L97" s="196"/>
      <c r="M97" s="196"/>
      <c r="N97" s="196"/>
      <c r="O97" s="196"/>
      <c r="P97" s="196"/>
      <c r="Q97" s="196"/>
      <c r="R97" s="196"/>
      <c r="S97" s="196"/>
      <c r="T97" s="196"/>
      <c r="U97" s="196"/>
      <c r="V97" s="196"/>
      <c r="W97" s="196"/>
      <c r="X97" s="196"/>
      <c r="Y97" s="196"/>
      <c r="Z97" s="199"/>
      <c r="AA97" s="199"/>
      <c r="AB97" s="210"/>
      <c r="AC97" s="210"/>
    </row>
    <row r="98" spans="8:29" ht="18.75">
      <c r="H98" s="196"/>
      <c r="I98" s="196"/>
      <c r="J98" s="196"/>
      <c r="K98" s="196"/>
      <c r="L98" s="196"/>
      <c r="M98" s="196"/>
      <c r="N98" s="196"/>
      <c r="O98" s="196"/>
      <c r="P98" s="196"/>
      <c r="Q98" s="196"/>
      <c r="R98" s="196"/>
      <c r="S98" s="196"/>
      <c r="T98" s="196"/>
      <c r="U98" s="196"/>
      <c r="V98" s="196"/>
      <c r="W98" s="196"/>
      <c r="X98" s="196"/>
      <c r="Y98" s="196"/>
      <c r="Z98" s="199"/>
      <c r="AA98" s="199"/>
      <c r="AB98" s="210"/>
      <c r="AC98" s="210"/>
    </row>
    <row r="99" spans="8:29" ht="18.75">
      <c r="H99" s="196"/>
      <c r="I99" s="196"/>
      <c r="J99" s="196"/>
      <c r="K99" s="196"/>
      <c r="L99" s="196"/>
      <c r="M99" s="196"/>
      <c r="N99" s="196"/>
      <c r="O99" s="196"/>
      <c r="P99" s="196"/>
      <c r="Q99" s="196"/>
      <c r="R99" s="196"/>
      <c r="S99" s="196"/>
      <c r="T99" s="196"/>
      <c r="U99" s="196"/>
      <c r="V99" s="196"/>
      <c r="W99" s="196"/>
      <c r="X99" s="196"/>
      <c r="Y99" s="196"/>
      <c r="Z99" s="199"/>
      <c r="AA99" s="199"/>
      <c r="AB99" s="210"/>
      <c r="AC99" s="210"/>
    </row>
    <row r="100" spans="8:29" ht="18.75">
      <c r="H100" s="196"/>
      <c r="I100" s="196"/>
      <c r="J100" s="196"/>
      <c r="K100" s="196"/>
      <c r="L100" s="196"/>
      <c r="M100" s="196"/>
      <c r="N100" s="196"/>
      <c r="O100" s="196"/>
      <c r="P100" s="196"/>
      <c r="Q100" s="196"/>
      <c r="R100" s="196"/>
      <c r="S100" s="196"/>
      <c r="T100" s="196"/>
      <c r="U100" s="196"/>
      <c r="V100" s="196"/>
      <c r="W100" s="196"/>
      <c r="X100" s="196"/>
      <c r="Y100" s="196"/>
      <c r="Z100" s="199"/>
      <c r="AA100" s="199"/>
      <c r="AB100" s="210"/>
      <c r="AC100" s="210"/>
    </row>
    <row r="101" spans="8:29" ht="18.75">
      <c r="H101" s="196"/>
      <c r="I101" s="196"/>
      <c r="J101" s="196"/>
      <c r="K101" s="196"/>
      <c r="L101" s="196"/>
      <c r="M101" s="196"/>
      <c r="N101" s="196"/>
      <c r="O101" s="196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9"/>
      <c r="AA101" s="199"/>
      <c r="AB101" s="210"/>
      <c r="AC101" s="210"/>
    </row>
    <row r="102" spans="8:29" ht="18.75">
      <c r="H102" s="196"/>
      <c r="I102" s="196"/>
      <c r="J102" s="196"/>
      <c r="K102" s="196"/>
      <c r="L102" s="196"/>
      <c r="M102" s="196"/>
      <c r="N102" s="196"/>
      <c r="O102" s="196"/>
      <c r="P102" s="196"/>
      <c r="Q102" s="196"/>
      <c r="R102" s="196"/>
      <c r="S102" s="196"/>
      <c r="T102" s="196"/>
      <c r="U102" s="196"/>
      <c r="V102" s="196"/>
      <c r="W102" s="196"/>
      <c r="X102" s="196"/>
      <c r="Y102" s="196"/>
      <c r="Z102" s="199"/>
      <c r="AA102" s="199"/>
      <c r="AB102" s="210"/>
      <c r="AC102" s="210"/>
    </row>
    <row r="103" spans="8:29" ht="18.75">
      <c r="H103" s="196"/>
      <c r="I103" s="196"/>
      <c r="J103" s="196"/>
      <c r="K103" s="196"/>
      <c r="L103" s="19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9"/>
      <c r="AA103" s="199"/>
      <c r="AB103" s="210"/>
      <c r="AC103" s="210"/>
    </row>
    <row r="104" spans="8:29" ht="18.75">
      <c r="H104" s="196"/>
      <c r="I104" s="196"/>
      <c r="J104" s="196"/>
      <c r="K104" s="196"/>
      <c r="L104" s="196"/>
      <c r="M104" s="196"/>
      <c r="N104" s="196"/>
      <c r="O104" s="196"/>
      <c r="P104" s="196"/>
      <c r="Q104" s="196"/>
      <c r="R104" s="196"/>
      <c r="S104" s="196"/>
      <c r="T104" s="196"/>
      <c r="U104" s="196"/>
      <c r="V104" s="196"/>
      <c r="W104" s="196"/>
      <c r="X104" s="196"/>
      <c r="Y104" s="196"/>
      <c r="Z104" s="199"/>
      <c r="AA104" s="199"/>
      <c r="AB104" s="210"/>
      <c r="AC104" s="210"/>
    </row>
    <row r="105" spans="8:29" ht="18.75">
      <c r="H105" s="196"/>
      <c r="I105" s="196"/>
      <c r="J105" s="196"/>
      <c r="K105" s="196"/>
      <c r="L105" s="196"/>
      <c r="M105" s="196"/>
      <c r="N105" s="196"/>
      <c r="O105" s="196"/>
      <c r="P105" s="196"/>
      <c r="Q105" s="196"/>
      <c r="R105" s="196"/>
      <c r="S105" s="196"/>
      <c r="T105" s="196"/>
      <c r="U105" s="196"/>
      <c r="V105" s="196"/>
      <c r="W105" s="196"/>
      <c r="X105" s="196"/>
      <c r="Y105" s="196"/>
      <c r="Z105" s="199"/>
      <c r="AA105" s="199"/>
      <c r="AB105" s="210"/>
      <c r="AC105" s="210"/>
    </row>
    <row r="106" spans="8:29" ht="18.75">
      <c r="H106" s="196"/>
      <c r="I106" s="196"/>
      <c r="J106" s="196"/>
      <c r="K106" s="196"/>
      <c r="L106" s="196"/>
      <c r="M106" s="196"/>
      <c r="N106" s="196"/>
      <c r="O106" s="196"/>
      <c r="P106" s="196"/>
      <c r="Q106" s="196"/>
      <c r="R106" s="196"/>
      <c r="S106" s="196"/>
      <c r="T106" s="196"/>
      <c r="U106" s="196"/>
      <c r="V106" s="196"/>
      <c r="W106" s="196"/>
      <c r="X106" s="196"/>
      <c r="Y106" s="196"/>
      <c r="Z106" s="199"/>
      <c r="AA106" s="199"/>
      <c r="AB106" s="210"/>
      <c r="AC106" s="210"/>
    </row>
    <row r="107" spans="8:29" ht="18.75">
      <c r="H107" s="196"/>
      <c r="I107" s="196"/>
      <c r="J107" s="196"/>
      <c r="K107" s="196"/>
      <c r="L107" s="196"/>
      <c r="M107" s="196"/>
      <c r="N107" s="196"/>
      <c r="O107" s="196"/>
      <c r="P107" s="196"/>
      <c r="Q107" s="196"/>
      <c r="R107" s="196"/>
      <c r="S107" s="196"/>
      <c r="T107" s="196"/>
      <c r="U107" s="196"/>
      <c r="V107" s="196"/>
      <c r="W107" s="196"/>
      <c r="X107" s="196"/>
      <c r="Y107" s="196"/>
      <c r="Z107" s="199"/>
      <c r="AA107" s="199"/>
      <c r="AB107" s="210"/>
      <c r="AC107" s="210"/>
    </row>
    <row r="108" spans="8:29" ht="18.75"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  <c r="R108" s="196"/>
      <c r="S108" s="196"/>
      <c r="T108" s="196"/>
      <c r="U108" s="196"/>
      <c r="V108" s="196"/>
      <c r="W108" s="196"/>
      <c r="X108" s="196"/>
      <c r="Y108" s="196"/>
      <c r="Z108" s="199"/>
      <c r="AA108" s="199"/>
      <c r="AB108" s="210"/>
      <c r="AC108" s="210"/>
    </row>
    <row r="109" spans="8:29">
      <c r="H109" s="196"/>
      <c r="I109" s="196"/>
      <c r="J109" s="196"/>
      <c r="K109" s="196"/>
      <c r="L109" s="196"/>
      <c r="M109" s="196"/>
      <c r="N109" s="196"/>
      <c r="O109" s="196"/>
      <c r="P109" s="196"/>
      <c r="Q109" s="196"/>
      <c r="R109" s="196"/>
      <c r="S109" s="196"/>
      <c r="T109" s="196"/>
      <c r="U109" s="196"/>
      <c r="V109" s="196"/>
      <c r="W109" s="196"/>
      <c r="X109" s="196"/>
      <c r="Y109" s="196"/>
      <c r="Z109" s="210"/>
      <c r="AA109" s="210"/>
      <c r="AB109" s="210"/>
      <c r="AC109" s="210"/>
    </row>
    <row r="110" spans="8:29">
      <c r="H110" s="196"/>
      <c r="I110" s="196"/>
      <c r="J110" s="196"/>
      <c r="K110" s="196"/>
      <c r="L110" s="196"/>
      <c r="M110" s="196"/>
      <c r="N110" s="196"/>
      <c r="O110" s="196"/>
      <c r="P110" s="196"/>
      <c r="Q110" s="196"/>
      <c r="R110" s="196"/>
      <c r="S110" s="196"/>
      <c r="T110" s="196"/>
      <c r="U110" s="196"/>
      <c r="V110" s="196"/>
      <c r="W110" s="196"/>
      <c r="X110" s="196"/>
      <c r="Y110" s="196"/>
      <c r="Z110" s="210"/>
      <c r="AA110" s="210"/>
      <c r="AB110" s="210"/>
      <c r="AC110" s="210"/>
    </row>
    <row r="111" spans="8:29">
      <c r="H111" s="196"/>
      <c r="I111" s="196"/>
      <c r="J111" s="196"/>
      <c r="K111" s="196"/>
      <c r="L111" s="196"/>
      <c r="M111" s="196"/>
      <c r="N111" s="196"/>
      <c r="O111" s="196"/>
      <c r="P111" s="196"/>
      <c r="Q111" s="196"/>
      <c r="R111" s="196"/>
      <c r="S111" s="196"/>
      <c r="T111" s="196"/>
      <c r="U111" s="196"/>
      <c r="V111" s="196"/>
      <c r="W111" s="196"/>
      <c r="X111" s="196"/>
      <c r="Y111" s="196"/>
      <c r="Z111" s="210"/>
      <c r="AA111" s="210"/>
      <c r="AB111" s="210"/>
      <c r="AC111" s="210"/>
    </row>
    <row r="112" spans="8:29">
      <c r="H112" s="196"/>
      <c r="I112" s="196"/>
      <c r="J112" s="196"/>
      <c r="K112" s="196"/>
      <c r="L112" s="196"/>
      <c r="M112" s="196"/>
      <c r="N112" s="196"/>
      <c r="O112" s="196"/>
      <c r="P112" s="196"/>
      <c r="Q112" s="196"/>
      <c r="R112" s="196"/>
      <c r="S112" s="196"/>
      <c r="T112" s="196"/>
      <c r="U112" s="196"/>
      <c r="V112" s="196"/>
      <c r="W112" s="196"/>
      <c r="X112" s="196"/>
      <c r="Y112" s="196"/>
      <c r="Z112" s="210"/>
      <c r="AA112" s="210"/>
      <c r="AB112" s="210"/>
      <c r="AC112" s="210"/>
    </row>
    <row r="113" spans="8:29">
      <c r="H113" s="196"/>
      <c r="I113" s="196"/>
      <c r="J113" s="196"/>
      <c r="K113" s="196"/>
      <c r="L113" s="196"/>
      <c r="M113" s="196"/>
      <c r="N113" s="196"/>
      <c r="O113" s="196"/>
      <c r="P113" s="196"/>
      <c r="Q113" s="196"/>
      <c r="R113" s="196"/>
      <c r="S113" s="196"/>
      <c r="T113" s="196"/>
      <c r="U113" s="196"/>
      <c r="V113" s="196"/>
      <c r="W113" s="196"/>
      <c r="X113" s="196"/>
      <c r="Y113" s="196"/>
      <c r="Z113" s="210"/>
      <c r="AA113" s="210"/>
      <c r="AB113" s="210"/>
      <c r="AC113" s="210"/>
    </row>
    <row r="114" spans="8:29">
      <c r="H114" s="196"/>
      <c r="I114" s="196"/>
      <c r="J114" s="196"/>
      <c r="K114" s="196"/>
      <c r="L114" s="196"/>
      <c r="M114" s="196"/>
      <c r="N114" s="196"/>
      <c r="O114" s="196"/>
      <c r="P114" s="196"/>
      <c r="Q114" s="196"/>
      <c r="R114" s="196"/>
      <c r="S114" s="196"/>
      <c r="T114" s="196"/>
      <c r="U114" s="196"/>
      <c r="V114" s="196"/>
      <c r="W114" s="196"/>
      <c r="X114" s="196"/>
      <c r="Y114" s="196"/>
      <c r="Z114" s="210"/>
      <c r="AA114" s="210"/>
      <c r="AB114" s="210"/>
      <c r="AC114" s="210"/>
    </row>
    <row r="115" spans="8:29">
      <c r="H115" s="196"/>
      <c r="I115" s="196"/>
      <c r="J115" s="196"/>
      <c r="K115" s="196"/>
      <c r="L115" s="196"/>
      <c r="M115" s="196"/>
      <c r="N115" s="196"/>
      <c r="O115" s="196"/>
      <c r="P115" s="196"/>
      <c r="Q115" s="196"/>
      <c r="R115" s="196"/>
      <c r="S115" s="196"/>
      <c r="T115" s="196"/>
      <c r="U115" s="196"/>
      <c r="V115" s="196"/>
      <c r="W115" s="196"/>
      <c r="X115" s="196"/>
      <c r="Y115" s="196"/>
      <c r="Z115" s="210"/>
      <c r="AA115" s="210"/>
      <c r="AB115" s="210"/>
      <c r="AC115" s="210"/>
    </row>
    <row r="116" spans="8:29">
      <c r="H116" s="196"/>
      <c r="I116" s="196"/>
      <c r="J116" s="196"/>
      <c r="K116" s="196"/>
      <c r="L116" s="196"/>
      <c r="M116" s="196"/>
      <c r="N116" s="196"/>
      <c r="O116" s="196"/>
      <c r="P116" s="196"/>
      <c r="Q116" s="196"/>
      <c r="R116" s="196"/>
      <c r="S116" s="196"/>
      <c r="T116" s="196"/>
      <c r="U116" s="196"/>
      <c r="V116" s="196"/>
      <c r="W116" s="196"/>
      <c r="X116" s="196"/>
      <c r="Y116" s="196"/>
      <c r="Z116" s="210"/>
      <c r="AA116" s="210"/>
      <c r="AB116" s="210"/>
      <c r="AC116" s="210"/>
    </row>
    <row r="117" spans="8:29"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  <c r="R117" s="196"/>
      <c r="S117" s="196"/>
      <c r="T117" s="196"/>
      <c r="U117" s="196"/>
      <c r="V117" s="196"/>
      <c r="W117" s="196"/>
      <c r="X117" s="196"/>
      <c r="Y117" s="196"/>
      <c r="Z117" s="210"/>
      <c r="AA117" s="210"/>
      <c r="AB117" s="210"/>
      <c r="AC117" s="210"/>
    </row>
    <row r="118" spans="8:29">
      <c r="H118" s="196"/>
      <c r="I118" s="196"/>
      <c r="J118" s="196"/>
      <c r="K118" s="196"/>
      <c r="L118" s="196"/>
      <c r="M118" s="196"/>
      <c r="N118" s="196"/>
      <c r="O118" s="196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210"/>
      <c r="AA118" s="210"/>
      <c r="AB118" s="210"/>
      <c r="AC118" s="210"/>
    </row>
    <row r="119" spans="8:29">
      <c r="H119" s="196"/>
      <c r="I119" s="196"/>
      <c r="J119" s="196"/>
      <c r="K119" s="196"/>
      <c r="L119" s="196"/>
      <c r="M119" s="196"/>
      <c r="N119" s="196"/>
      <c r="O119" s="196"/>
      <c r="P119" s="196"/>
      <c r="Q119" s="196"/>
      <c r="R119" s="196"/>
      <c r="S119" s="196"/>
      <c r="T119" s="196"/>
      <c r="U119" s="196"/>
      <c r="V119" s="196"/>
      <c r="W119" s="196"/>
      <c r="X119" s="196"/>
      <c r="Y119" s="196"/>
      <c r="Z119" s="210"/>
      <c r="AA119" s="210"/>
      <c r="AB119" s="210"/>
      <c r="AC119" s="210"/>
    </row>
  </sheetData>
  <sheetProtection algorithmName="SHA-512" hashValue="X3Klvkp8c2MrZoX3w/IZI0AWgL16jc7wQdqCzt81+YKfXi8U4l7eAsn2wze6G6LgqUetlo56Jm/CdRcNoA64PQ==" saltValue="5508krmic4AOeZwVLQZy+Q==" spinCount="100000" sheet="1" formatCells="0" formatColumns="0" insertRows="0" sort="0" autoFilter="0"/>
  <autoFilter ref="A3:Y60" xr:uid="{00000000-0009-0000-0000-000003000000}"/>
  <dataConsolidate/>
  <mergeCells count="2">
    <mergeCell ref="A1:W1"/>
    <mergeCell ref="A2:Y2"/>
  </mergeCells>
  <conditionalFormatting sqref="P120:P10044">
    <cfRule type="cellIs" dxfId="35" priority="43" operator="equal">
      <formula>"KO ambiente"</formula>
    </cfRule>
    <cfRule type="cellIs" dxfId="34" priority="44" operator="equal">
      <formula>"KO medio"</formula>
    </cfRule>
    <cfRule type="cellIs" dxfId="33" priority="45" operator="equal">
      <formula>"KO basso"</formula>
    </cfRule>
    <cfRule type="cellIs" dxfId="32" priority="46" operator="equal">
      <formula>"OK"</formula>
    </cfRule>
    <cfRule type="cellIs" dxfId="31" priority="47" operator="equal">
      <formula>"KO alto"</formula>
    </cfRule>
    <cfRule type="cellIs" dxfId="30" priority="48" operator="equal">
      <formula>"TBD"</formula>
    </cfRule>
  </conditionalFormatting>
  <conditionalFormatting sqref="P4:P10">
    <cfRule type="cellIs" dxfId="29" priority="19" operator="equal">
      <formula>"KO ambiente"</formula>
    </cfRule>
    <cfRule type="cellIs" dxfId="28" priority="20" operator="equal">
      <formula>"KO medio"</formula>
    </cfRule>
    <cfRule type="cellIs" dxfId="27" priority="21" operator="equal">
      <formula>"KO basso"</formula>
    </cfRule>
    <cfRule type="cellIs" dxfId="26" priority="22" operator="equal">
      <formula>"OK"</formula>
    </cfRule>
    <cfRule type="cellIs" dxfId="25" priority="23" operator="equal">
      <formula>"KO alto"</formula>
    </cfRule>
    <cfRule type="cellIs" dxfId="24" priority="24" operator="equal">
      <formula>"TBD"</formula>
    </cfRule>
  </conditionalFormatting>
  <conditionalFormatting sqref="P4:P24">
    <cfRule type="cellIs" dxfId="23" priority="13" operator="equal">
      <formula>"KO ambiente"</formula>
    </cfRule>
    <cfRule type="cellIs" dxfId="22" priority="14" operator="equal">
      <formula>"KO medio"</formula>
    </cfRule>
    <cfRule type="cellIs" dxfId="21" priority="15" operator="equal">
      <formula>"KO basso"</formula>
    </cfRule>
    <cfRule type="cellIs" dxfId="20" priority="16" operator="equal">
      <formula>"OK"</formula>
    </cfRule>
    <cfRule type="cellIs" dxfId="19" priority="17" operator="equal">
      <formula>"KO alto"</formula>
    </cfRule>
    <cfRule type="cellIs" dxfId="18" priority="18" operator="equal">
      <formula>"TBD"</formula>
    </cfRule>
  </conditionalFormatting>
  <conditionalFormatting sqref="P12:P24">
    <cfRule type="cellIs" dxfId="17" priority="7" operator="equal">
      <formula>"KO ambiente"</formula>
    </cfRule>
    <cfRule type="cellIs" dxfId="16" priority="8" operator="equal">
      <formula>"KO medio"</formula>
    </cfRule>
    <cfRule type="cellIs" dxfId="15" priority="9" operator="equal">
      <formula>"KO basso"</formula>
    </cfRule>
    <cfRule type="cellIs" dxfId="14" priority="10" operator="equal">
      <formula>"OK"</formula>
    </cfRule>
    <cfRule type="cellIs" dxfId="13" priority="11" operator="equal">
      <formula>"KO alto"</formula>
    </cfRule>
    <cfRule type="cellIs" dxfId="12" priority="12" operator="equal">
      <formula>"TBD"</formula>
    </cfRule>
  </conditionalFormatting>
  <conditionalFormatting sqref="P4:P9">
    <cfRule type="cellIs" dxfId="11" priority="1" operator="equal">
      <formula>"KO ambiente"</formula>
    </cfRule>
    <cfRule type="cellIs" dxfId="10" priority="2" operator="equal">
      <formula>"KO medio"</formula>
    </cfRule>
    <cfRule type="cellIs" dxfId="9" priority="3" operator="equal">
      <formula>"KO basso"</formula>
    </cfRule>
    <cfRule type="cellIs" dxfId="8" priority="4" operator="equal">
      <formula>"OK"</formula>
    </cfRule>
    <cfRule type="cellIs" dxfId="7" priority="5" operator="equal">
      <formula>"KO alto"</formula>
    </cfRule>
    <cfRule type="cellIs" dxfId="6" priority="6" operator="equal">
      <formula>"TBD"</formula>
    </cfRule>
  </conditionalFormatting>
  <dataValidations disablePrompts="1" count="8">
    <dataValidation type="list" allowBlank="1" showInputMessage="1" showErrorMessage="1" sqref="D2" xr:uid="{00000000-0002-0000-0300-000000000000}">
      <formula1>"Migrazione,Gap,Big Rock,Interfacce"</formula1>
    </dataValidation>
    <dataValidation type="list" allowBlank="1" showInputMessage="1" showErrorMessage="1" sqref="E1:E3" xr:uid="{00000000-0002-0000-0300-000001000000}">
      <formula1>"A1,A2,A3,A4,A5,A6,A7,A8,A9,A10,A11"</formula1>
    </dataValidation>
    <dataValidation type="list" allowBlank="1" showInputMessage="1" showErrorMessage="1" sqref="G1:G3" xr:uid="{00000000-0002-0000-0300-000002000000}">
      <formula1>"A Critical,B High, C Medium, D Low"</formula1>
    </dataValidation>
    <dataValidation type="list" allowBlank="1" showInputMessage="1" showErrorMessage="1" sqref="U86:U1048576 U4:U24 U47:U54 U56:U84" xr:uid="{00000000-0002-0000-0300-000003000000}">
      <formula1>"B,O"</formula1>
    </dataValidation>
    <dataValidation type="list" allowBlank="1" showInputMessage="1" showErrorMessage="1" sqref="E86:E1048576 E4:E24 E47:E54 E56:E84" xr:uid="{00000000-0002-0000-0300-000004000000}">
      <formula1>"Sales &amp; Channel,Core Banking,Payments,Lending,Investment,Finance,IT Infr &amp; Security,Architettura e Integrazione,Migrazione, Parametrizzazione/Formazione,Altro"</formula1>
    </dataValidation>
    <dataValidation type="list" allowBlank="1" sqref="B86:B1048576 B4:B24 B47:B54 B56:B84" xr:uid="{00000000-0002-0000-0300-000005000000}">
      <formula1>"No,Sì"</formula1>
    </dataValidation>
    <dataValidation type="list" allowBlank="1" showInputMessage="1" showErrorMessage="1" sqref="D86:D1048576 D4:D24 D47:D54 D56:D84" xr:uid="{00000000-0002-0000-0300-000006000000}">
      <formula1>"Migrazione,Gap,Interfacce,Altro"</formula1>
    </dataValidation>
    <dataValidation type="list" allowBlank="1" showInputMessage="1" showErrorMessage="1" sqref="G86:G1048576 G4:G24 G47:G54 G56:G84" xr:uid="{00000000-0002-0000-0300-000007000000}">
      <formula1>"Critical,High,Medium,Low"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8000000}">
          <x14:formula1>
            <xm:f>'Criteri Accettazione'!$A$2:$A$7</xm:f>
          </x14:formula1>
          <xm:sqref>P86:P1048576 P4:P24 P47:P54 P56:P84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4170F-9425-4972-875B-AC2B865188EC}">
  <dimension ref="A1:G10"/>
  <sheetViews>
    <sheetView workbookViewId="0">
      <selection activeCell="B7" sqref="B7"/>
    </sheetView>
  </sheetViews>
  <sheetFormatPr defaultRowHeight="15"/>
  <cols>
    <col min="1" max="1" width="21.5703125" bestFit="1" customWidth="1"/>
    <col min="2" max="2" width="76.5703125" bestFit="1" customWidth="1"/>
    <col min="3" max="3" width="50.42578125" customWidth="1"/>
    <col min="4" max="4" width="22.42578125" customWidth="1"/>
    <col min="5" max="5" width="20.42578125" customWidth="1"/>
    <col min="6" max="6" width="21" customWidth="1"/>
    <col min="7" max="7" width="18.5703125" customWidth="1"/>
    <col min="8" max="8" width="19.140625" customWidth="1"/>
  </cols>
  <sheetData>
    <row r="1" spans="1:7">
      <c r="A1" s="205" t="s">
        <v>209</v>
      </c>
      <c r="B1" s="205" t="s">
        <v>210</v>
      </c>
      <c r="C1" s="205" t="s">
        <v>211</v>
      </c>
    </row>
    <row r="2" spans="1:7">
      <c r="A2" s="208" t="s">
        <v>212</v>
      </c>
      <c r="B2" s="206" t="s">
        <v>213</v>
      </c>
      <c r="C2" s="207"/>
    </row>
    <row r="3" spans="1:7">
      <c r="A3" s="208"/>
      <c r="B3" s="206"/>
      <c r="C3" s="207" t="s">
        <v>214</v>
      </c>
    </row>
    <row r="5" spans="1:7">
      <c r="G5" s="207"/>
    </row>
    <row r="10" spans="1:7">
      <c r="G10" s="20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C17"/>
  <sheetViews>
    <sheetView workbookViewId="0">
      <selection activeCell="B4" sqref="B4"/>
    </sheetView>
  </sheetViews>
  <sheetFormatPr defaultColWidth="9.42578125" defaultRowHeight="15"/>
  <cols>
    <col min="1" max="1" width="6.42578125" style="7" customWidth="1"/>
    <col min="2" max="2" width="11.42578125" style="7" customWidth="1"/>
    <col min="3" max="3" width="7.5703125" style="7" customWidth="1"/>
    <col min="4" max="4" width="11" style="7" customWidth="1"/>
    <col min="5" max="5" width="26.5703125" style="8" customWidth="1"/>
    <col min="6" max="6" width="5.42578125" style="7" bestFit="1" customWidth="1"/>
    <col min="7" max="7" width="9.42578125" style="7" bestFit="1" customWidth="1"/>
    <col min="8" max="16384" width="9.42578125" style="7"/>
  </cols>
  <sheetData>
    <row r="1" spans="1:29" s="6" customFormat="1" ht="21" customHeight="1">
      <c r="A1" s="254" t="s">
        <v>215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17">
        <f>COUNTIFS($U$4:$U$19991,"B",$P$4:$P$19991,"OK")</f>
        <v>0</v>
      </c>
      <c r="Y1" s="17">
        <f>COUNTIFS($U$4:$U$19991,"o",$P$4:$P$19991,"OK")</f>
        <v>0</v>
      </c>
      <c r="Z1" s="64"/>
      <c r="AA1" s="15"/>
      <c r="AB1" s="15"/>
      <c r="AC1" s="15"/>
    </row>
    <row r="2" spans="1:29" s="6" customFormat="1" ht="61.5" customHeight="1">
      <c r="A2" s="257" t="s">
        <v>137</v>
      </c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65"/>
      <c r="AA2" s="4"/>
      <c r="AB2" s="15"/>
      <c r="AC2" s="15"/>
    </row>
    <row r="3" spans="1:29" s="6" customFormat="1" ht="46.5" thickBot="1">
      <c r="A3" s="23" t="s">
        <v>138</v>
      </c>
      <c r="B3" s="24" t="s">
        <v>19</v>
      </c>
      <c r="C3" s="24" t="s">
        <v>139</v>
      </c>
      <c r="D3" s="24" t="s">
        <v>140</v>
      </c>
      <c r="E3" s="25" t="s">
        <v>141</v>
      </c>
      <c r="F3" s="26" t="s">
        <v>142</v>
      </c>
      <c r="G3" s="26" t="s">
        <v>143</v>
      </c>
      <c r="H3" s="23" t="s">
        <v>38</v>
      </c>
      <c r="I3" s="24" t="s">
        <v>41</v>
      </c>
      <c r="J3" s="24" t="s">
        <v>44</v>
      </c>
      <c r="K3" s="24" t="s">
        <v>144</v>
      </c>
      <c r="L3" s="24" t="s">
        <v>145</v>
      </c>
      <c r="M3" s="24" t="s">
        <v>54</v>
      </c>
      <c r="N3" s="24" t="s">
        <v>57</v>
      </c>
      <c r="O3" s="24" t="s">
        <v>60</v>
      </c>
      <c r="P3" s="24" t="s">
        <v>146</v>
      </c>
      <c r="Q3" s="24" t="s">
        <v>216</v>
      </c>
      <c r="R3" s="24" t="s">
        <v>70</v>
      </c>
      <c r="S3" s="24" t="s">
        <v>72</v>
      </c>
      <c r="T3" s="24" t="s">
        <v>75</v>
      </c>
      <c r="U3" s="24" t="s">
        <v>148</v>
      </c>
      <c r="V3" s="24" t="s">
        <v>81</v>
      </c>
      <c r="W3" s="24" t="s">
        <v>149</v>
      </c>
      <c r="X3" s="24" t="s">
        <v>85</v>
      </c>
      <c r="Y3" s="24" t="s">
        <v>88</v>
      </c>
      <c r="Z3" s="66"/>
      <c r="AA3" s="5"/>
      <c r="AB3" s="5"/>
      <c r="AC3" s="5"/>
    </row>
    <row r="4" spans="1:29">
      <c r="A4" s="27"/>
      <c r="B4" s="18"/>
      <c r="C4" s="19"/>
      <c r="D4" s="20"/>
      <c r="E4" s="21"/>
      <c r="F4" s="22"/>
      <c r="G4" s="22"/>
      <c r="H4" s="28"/>
      <c r="I4" s="29"/>
      <c r="J4" s="29"/>
      <c r="K4" s="29"/>
      <c r="L4" s="29"/>
      <c r="M4" s="29"/>
      <c r="N4" s="29"/>
      <c r="O4" s="29"/>
      <c r="P4" s="27"/>
      <c r="Q4" s="27"/>
      <c r="R4" s="30"/>
      <c r="S4" s="27"/>
      <c r="T4" s="27"/>
      <c r="U4" s="30"/>
      <c r="V4" s="27"/>
      <c r="W4" s="29"/>
      <c r="X4" s="31"/>
      <c r="Y4" s="31"/>
      <c r="Z4" s="67"/>
      <c r="AA4" s="16"/>
      <c r="AB4" s="16"/>
      <c r="AC4" s="16"/>
    </row>
    <row r="5" spans="1:29">
      <c r="A5" s="52"/>
      <c r="B5" s="53"/>
      <c r="C5" s="54"/>
      <c r="D5" s="55"/>
      <c r="E5" s="56"/>
      <c r="F5" s="57"/>
      <c r="G5" s="57"/>
      <c r="H5" s="62"/>
      <c r="I5" s="58"/>
      <c r="J5" s="58"/>
      <c r="K5" s="58"/>
      <c r="L5" s="59"/>
      <c r="M5" s="58"/>
      <c r="N5" s="58"/>
      <c r="O5" s="58"/>
      <c r="P5" s="52"/>
      <c r="Q5" s="58"/>
      <c r="R5" s="68"/>
      <c r="S5" s="58"/>
      <c r="T5" s="58"/>
      <c r="U5" s="60"/>
      <c r="V5" s="52"/>
      <c r="W5" s="58"/>
      <c r="X5" s="63"/>
      <c r="Y5" s="63"/>
      <c r="Z5" s="67"/>
      <c r="AA5" s="16"/>
      <c r="AB5" s="16"/>
      <c r="AC5" s="16"/>
    </row>
    <row r="6" spans="1:29">
      <c r="A6" s="52"/>
      <c r="B6" s="53"/>
      <c r="C6" s="54"/>
      <c r="D6" s="55"/>
      <c r="E6" s="56"/>
      <c r="F6" s="57"/>
      <c r="G6" s="57"/>
      <c r="H6" s="62"/>
      <c r="I6" s="58"/>
      <c r="J6" s="58"/>
      <c r="K6" s="58"/>
      <c r="L6" s="59"/>
      <c r="M6" s="58"/>
      <c r="N6" s="58"/>
      <c r="O6" s="58"/>
      <c r="P6" s="52"/>
      <c r="Q6" s="58"/>
      <c r="R6" s="58"/>
      <c r="S6" s="58"/>
      <c r="T6" s="58"/>
      <c r="U6" s="60"/>
      <c r="V6" s="52"/>
      <c r="W6" s="58"/>
      <c r="X6" s="63"/>
      <c r="Y6" s="63"/>
      <c r="Z6" s="67"/>
      <c r="AA6" s="16"/>
      <c r="AB6" s="16"/>
      <c r="AC6" s="16"/>
    </row>
    <row r="7" spans="1:29">
      <c r="A7" s="52"/>
      <c r="B7" s="53"/>
      <c r="C7" s="54"/>
      <c r="D7" s="55"/>
      <c r="E7" s="56"/>
      <c r="F7" s="57"/>
      <c r="G7" s="57"/>
      <c r="H7" s="62"/>
      <c r="I7" s="58"/>
      <c r="J7" s="58"/>
      <c r="K7" s="58"/>
      <c r="L7" s="59"/>
      <c r="M7" s="58"/>
      <c r="N7" s="58"/>
      <c r="O7" s="58"/>
      <c r="P7" s="52"/>
      <c r="Q7" s="58"/>
      <c r="R7" s="58"/>
      <c r="S7" s="58"/>
      <c r="T7" s="58"/>
      <c r="U7" s="60"/>
      <c r="V7" s="52"/>
      <c r="W7" s="58"/>
      <c r="X7" s="63"/>
      <c r="Y7" s="63"/>
      <c r="Z7" s="67"/>
      <c r="AA7" s="16"/>
      <c r="AB7" s="16"/>
      <c r="AC7" s="16"/>
    </row>
    <row r="8" spans="1:29">
      <c r="A8" s="52"/>
      <c r="B8" s="53"/>
      <c r="C8" s="54"/>
      <c r="D8" s="55"/>
      <c r="E8" s="56"/>
      <c r="F8" s="57"/>
      <c r="G8" s="57"/>
      <c r="H8" s="62"/>
      <c r="I8" s="58"/>
      <c r="J8" s="58"/>
      <c r="K8" s="58"/>
      <c r="L8" s="59"/>
      <c r="M8" s="58"/>
      <c r="N8" s="58"/>
      <c r="O8" s="58"/>
      <c r="P8" s="52"/>
      <c r="Q8" s="58"/>
      <c r="R8" s="58"/>
      <c r="S8" s="58"/>
      <c r="T8" s="58"/>
      <c r="U8" s="60"/>
      <c r="V8" s="52"/>
      <c r="W8" s="58"/>
      <c r="X8" s="63"/>
      <c r="Y8" s="63"/>
      <c r="Z8" s="67"/>
      <c r="AA8" s="16"/>
      <c r="AB8" s="16"/>
      <c r="AC8" s="16"/>
    </row>
    <row r="9" spans="1:29">
      <c r="A9" s="52"/>
      <c r="B9" s="53"/>
      <c r="C9" s="54"/>
      <c r="D9" s="55"/>
      <c r="E9" s="56"/>
      <c r="F9" s="57"/>
      <c r="G9" s="57"/>
      <c r="H9" s="62"/>
      <c r="I9" s="58"/>
      <c r="J9" s="58"/>
      <c r="K9" s="58"/>
      <c r="L9" s="59"/>
      <c r="M9" s="58"/>
      <c r="N9" s="58"/>
      <c r="O9" s="58"/>
      <c r="P9" s="52"/>
      <c r="Q9" s="58"/>
      <c r="R9" s="58"/>
      <c r="S9" s="58"/>
      <c r="T9" s="58"/>
      <c r="U9" s="60"/>
      <c r="V9" s="52"/>
      <c r="W9" s="58"/>
      <c r="X9" s="63"/>
      <c r="Y9" s="63"/>
      <c r="Z9" s="67"/>
      <c r="AA9" s="16"/>
      <c r="AB9" s="16"/>
      <c r="AC9" s="16"/>
    </row>
    <row r="10" spans="1:29">
      <c r="A10" s="32"/>
      <c r="B10" s="33"/>
      <c r="C10" s="34"/>
      <c r="D10" s="35"/>
      <c r="E10" s="36"/>
      <c r="F10" s="37"/>
      <c r="G10" s="37"/>
      <c r="H10" s="38"/>
      <c r="I10" s="39"/>
      <c r="J10" s="39"/>
      <c r="K10" s="39"/>
      <c r="L10" s="40"/>
      <c r="M10" s="39"/>
      <c r="N10" s="39"/>
      <c r="O10" s="39"/>
      <c r="P10" s="32"/>
      <c r="Q10" s="39"/>
      <c r="R10" s="39"/>
      <c r="S10" s="39"/>
      <c r="T10" s="39"/>
      <c r="U10" s="41"/>
      <c r="V10" s="32"/>
      <c r="W10" s="39"/>
      <c r="X10" s="42"/>
      <c r="Y10" s="42"/>
      <c r="Z10" s="67"/>
      <c r="AA10" s="16"/>
      <c r="AB10" s="16"/>
      <c r="AC10" s="16"/>
    </row>
    <row r="11" spans="1:29">
      <c r="A11" s="43"/>
      <c r="B11" s="44"/>
      <c r="C11" s="45"/>
      <c r="D11" s="46"/>
      <c r="E11" s="47"/>
      <c r="F11" s="48"/>
      <c r="G11" s="48"/>
      <c r="H11" s="69"/>
      <c r="I11" s="49"/>
      <c r="J11" s="49"/>
      <c r="K11" s="49"/>
      <c r="L11" s="50"/>
      <c r="M11" s="49"/>
      <c r="N11" s="49"/>
      <c r="O11" s="49"/>
      <c r="P11" s="43"/>
      <c r="Q11" s="49"/>
      <c r="R11" s="49"/>
      <c r="S11" s="49"/>
      <c r="T11" s="49"/>
      <c r="U11" s="51"/>
      <c r="V11" s="43"/>
      <c r="W11" s="49"/>
      <c r="X11" s="61"/>
      <c r="Y11" s="61"/>
      <c r="Z11" s="67"/>
      <c r="AA11" s="16"/>
      <c r="AB11" s="16"/>
      <c r="AC11" s="16"/>
    </row>
    <row r="12" spans="1:29">
      <c r="A12" s="43"/>
      <c r="B12" s="44"/>
      <c r="C12" s="45"/>
      <c r="D12" s="46"/>
      <c r="E12" s="47"/>
      <c r="F12" s="48"/>
      <c r="G12" s="48"/>
      <c r="H12" s="69"/>
      <c r="I12" s="49"/>
      <c r="J12" s="49"/>
      <c r="K12" s="49"/>
      <c r="L12" s="50"/>
      <c r="M12" s="49"/>
      <c r="N12" s="49"/>
      <c r="O12" s="49"/>
      <c r="P12" s="43"/>
      <c r="Q12" s="49"/>
      <c r="R12" s="49"/>
      <c r="S12" s="49"/>
      <c r="T12" s="49"/>
      <c r="U12" s="51"/>
      <c r="V12" s="43"/>
      <c r="W12" s="49"/>
      <c r="X12" s="61"/>
      <c r="Y12" s="61"/>
      <c r="Z12" s="67"/>
      <c r="AA12" s="16"/>
      <c r="AB12" s="16"/>
      <c r="AC12" s="16"/>
    </row>
    <row r="13" spans="1:29">
      <c r="A13" s="43"/>
      <c r="B13" s="44"/>
      <c r="C13" s="45"/>
      <c r="D13" s="46"/>
      <c r="E13" s="47"/>
      <c r="F13" s="48"/>
      <c r="G13" s="48"/>
      <c r="H13" s="69"/>
      <c r="I13" s="49"/>
      <c r="J13" s="49"/>
      <c r="K13" s="49"/>
      <c r="L13" s="50"/>
      <c r="M13" s="49"/>
      <c r="N13" s="49"/>
      <c r="O13" s="49"/>
      <c r="P13" s="43"/>
      <c r="Q13" s="49"/>
      <c r="R13" s="49"/>
      <c r="S13" s="49"/>
      <c r="T13" s="49"/>
      <c r="U13" s="51"/>
      <c r="V13" s="43"/>
      <c r="W13" s="49"/>
      <c r="X13" s="61"/>
      <c r="Y13" s="61"/>
      <c r="Z13" s="67"/>
      <c r="AA13" s="16"/>
      <c r="AB13" s="16"/>
      <c r="AC13" s="16"/>
    </row>
    <row r="14" spans="1:29">
      <c r="A14" s="43"/>
      <c r="B14" s="44"/>
      <c r="C14" s="45"/>
      <c r="D14" s="46"/>
      <c r="E14" s="47"/>
      <c r="F14" s="48"/>
      <c r="G14" s="48"/>
      <c r="H14" s="69"/>
      <c r="I14" s="49"/>
      <c r="J14" s="49"/>
      <c r="K14" s="49"/>
      <c r="L14" s="50"/>
      <c r="M14" s="49"/>
      <c r="N14" s="49"/>
      <c r="O14" s="49"/>
      <c r="P14" s="43"/>
      <c r="Q14" s="49"/>
      <c r="R14" s="49"/>
      <c r="S14" s="49"/>
      <c r="T14" s="49"/>
      <c r="U14" s="51"/>
      <c r="V14" s="43"/>
      <c r="W14" s="49"/>
      <c r="X14" s="61"/>
      <c r="Y14" s="61"/>
      <c r="Z14" s="67"/>
      <c r="AA14" s="16"/>
      <c r="AB14" s="16"/>
      <c r="AC14" s="16"/>
    </row>
    <row r="15" spans="1:29">
      <c r="A15" s="43"/>
      <c r="B15" s="44"/>
      <c r="C15" s="45"/>
      <c r="D15" s="46"/>
      <c r="E15" s="47"/>
      <c r="F15" s="48"/>
      <c r="G15" s="48"/>
      <c r="H15" s="69"/>
      <c r="I15" s="49"/>
      <c r="J15" s="49"/>
      <c r="K15" s="49"/>
      <c r="L15" s="50"/>
      <c r="M15" s="49"/>
      <c r="N15" s="49"/>
      <c r="O15" s="49"/>
      <c r="P15" s="43"/>
      <c r="Q15" s="49"/>
      <c r="R15" s="49"/>
      <c r="S15" s="49"/>
      <c r="T15" s="49"/>
      <c r="U15" s="51"/>
      <c r="V15" s="43"/>
      <c r="W15" s="49"/>
      <c r="X15" s="61"/>
      <c r="Y15" s="61"/>
      <c r="Z15" s="67"/>
      <c r="AA15" s="16"/>
      <c r="AB15" s="16"/>
      <c r="AC15" s="16"/>
    </row>
    <row r="16" spans="1:29">
      <c r="A16" s="43"/>
      <c r="B16" s="44"/>
      <c r="C16" s="45"/>
      <c r="D16" s="46"/>
      <c r="E16" s="47"/>
      <c r="F16" s="48"/>
      <c r="G16" s="48"/>
      <c r="H16" s="69"/>
      <c r="I16" s="49"/>
      <c r="J16" s="49"/>
      <c r="K16" s="49"/>
      <c r="L16" s="50"/>
      <c r="M16" s="49"/>
      <c r="N16" s="49"/>
      <c r="O16" s="49"/>
      <c r="P16" s="43"/>
      <c r="Q16" s="49"/>
      <c r="R16" s="49"/>
      <c r="S16" s="49"/>
      <c r="T16" s="49"/>
      <c r="U16" s="51"/>
      <c r="V16" s="43"/>
      <c r="W16" s="49"/>
      <c r="X16" s="61"/>
      <c r="Y16" s="61"/>
      <c r="Z16" s="67"/>
      <c r="AA16" s="16"/>
      <c r="AB16" s="16"/>
      <c r="AC16" s="16"/>
    </row>
    <row r="17" spans="1:26">
      <c r="A17" s="191"/>
      <c r="B17" s="191"/>
      <c r="C17" s="191"/>
      <c r="D17" s="191"/>
      <c r="E17" s="192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</row>
  </sheetData>
  <sheetProtection algorithmName="SHA-512" hashValue="Bf0VQwe1Byh0Gu2fZZPPnxZn3iI8HBsC8AWXD+jP+orYE67C6Sndoo9XS4s4Ku2v+yKYvgNBWqEmD7XS1hb0SQ==" saltValue="YASLpoGAUtssTjk5u0yIQw==" spinCount="100000" sheet="1" formatCells="0" formatColumns="0" insertRows="0" sort="0" autoFilter="0"/>
  <autoFilter ref="A3:Y16" xr:uid="{00000000-0009-0000-0000-000004000000}"/>
  <dataConsolidate/>
  <mergeCells count="2">
    <mergeCell ref="A1:W1"/>
    <mergeCell ref="A2:Y2"/>
  </mergeCells>
  <conditionalFormatting sqref="P4:P10000">
    <cfRule type="cellIs" dxfId="5" priority="1" operator="equal">
      <formula>"KO ambiente"</formula>
    </cfRule>
    <cfRule type="cellIs" dxfId="4" priority="2" operator="equal">
      <formula>"KO medio"</formula>
    </cfRule>
    <cfRule type="cellIs" dxfId="3" priority="3" operator="equal">
      <formula>"KO basso"</formula>
    </cfRule>
    <cfRule type="cellIs" dxfId="2" priority="4" operator="equal">
      <formula>"OK"</formula>
    </cfRule>
    <cfRule type="cellIs" dxfId="1" priority="5" operator="equal">
      <formula>"KO alto"</formula>
    </cfRule>
    <cfRule type="cellIs" dxfId="0" priority="6" operator="equal">
      <formula>"TBD"</formula>
    </cfRule>
  </conditionalFormatting>
  <dataValidations count="8">
    <dataValidation type="list" allowBlank="1" showInputMessage="1" showErrorMessage="1" sqref="G4:G1048576" xr:uid="{00000000-0002-0000-0400-000000000000}">
      <formula1>"Critical,High,Medium,Low"</formula1>
    </dataValidation>
    <dataValidation type="list" allowBlank="1" showInputMessage="1" showErrorMessage="1" sqref="D4:D1048576" xr:uid="{00000000-0002-0000-0400-000001000000}">
      <formula1>"Migrazione,Gap,Interfacce,Altro"</formula1>
    </dataValidation>
    <dataValidation type="list" allowBlank="1" sqref="B4:B1048576" xr:uid="{00000000-0002-0000-0400-000002000000}">
      <formula1>"No,Sì"</formula1>
    </dataValidation>
    <dataValidation type="list" allowBlank="1" showInputMessage="1" showErrorMessage="1" sqref="E4:E1048576" xr:uid="{00000000-0002-0000-0400-000003000000}">
      <formula1>"Sales &amp; Channel,Core Banking,Payments,Lending,Investment,Finance,IT Infr &amp; Security,Architettura e Integrazione,Migrazione, Parametrizzazione/Formazione,Altro"</formula1>
    </dataValidation>
    <dataValidation type="list" allowBlank="1" showInputMessage="1" showErrorMessage="1" sqref="U4:U1048576" xr:uid="{00000000-0002-0000-0400-000004000000}">
      <formula1>"B,O"</formula1>
    </dataValidation>
    <dataValidation type="list" allowBlank="1" showInputMessage="1" showErrorMessage="1" sqref="G1:G3" xr:uid="{00000000-0002-0000-0400-000005000000}">
      <formula1>"A Critical,B High, C Medium, D Low"</formula1>
    </dataValidation>
    <dataValidation type="list" allowBlank="1" showInputMessage="1" showErrorMessage="1" sqref="E1:E3" xr:uid="{00000000-0002-0000-0400-000006000000}">
      <formula1>"A1,A2,A3,A4,A5,A6,A7,A8,A9,A10,A11"</formula1>
    </dataValidation>
    <dataValidation type="list" allowBlank="1" showInputMessage="1" showErrorMessage="1" sqref="D2" xr:uid="{00000000-0002-0000-0400-000007000000}">
      <formula1>"Migrazione,Gap,Big Rock,Interfacce"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8000000}">
          <x14:formula1>
            <xm:f>'Criteri Accettazione'!$A$2:$A$7</xm:f>
          </x14:formula1>
          <xm:sqref>P4:P1048576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78206bb-bb95-4e5d-82c5-7c0461fe26f4">
      <Terms xmlns="http://schemas.microsoft.com/office/infopath/2007/PartnerControls"/>
    </lcf76f155ced4ddcb4097134ff3c332f>
    <TaxCatchAll xmlns="20520e79-bbde-49f2-aa5f-13625765546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96915CF79F1A4EB18EDA9F6F1531F2" ma:contentTypeVersion="14" ma:contentTypeDescription="Create a new document." ma:contentTypeScope="" ma:versionID="0fd71e773e831b5fd8b13edbc21691b6">
  <xsd:schema xmlns:xsd="http://www.w3.org/2001/XMLSchema" xmlns:xs="http://www.w3.org/2001/XMLSchema" xmlns:p="http://schemas.microsoft.com/office/2006/metadata/properties" xmlns:ns2="b78206bb-bb95-4e5d-82c5-7c0461fe26f4" xmlns:ns3="20520e79-bbde-49f2-aa5f-13625765546a" targetNamespace="http://schemas.microsoft.com/office/2006/metadata/properties" ma:root="true" ma:fieldsID="68456d2227568a28f5bb01f966297f5e" ns2:_="" ns3:_="">
    <xsd:import namespace="b78206bb-bb95-4e5d-82c5-7c0461fe26f4"/>
    <xsd:import namespace="20520e79-bbde-49f2-aa5f-13625765546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8206bb-bb95-4e5d-82c5-7c0461fe2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478add5-f3e7-4565-aa0e-d2daa2dbbd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520e79-bbde-49f2-aa5f-13625765546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0d09d3c2-879c-43b9-af03-b357128efd8a}" ma:internalName="TaxCatchAll" ma:showField="CatchAllData" ma:web="20520e79-bbde-49f2-aa5f-13625765546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1DC9CF-93D6-4855-9074-66C3D722EBF7}"/>
</file>

<file path=customXml/itemProps2.xml><?xml version="1.0" encoding="utf-8"?>
<ds:datastoreItem xmlns:ds="http://schemas.openxmlformats.org/officeDocument/2006/customXml" ds:itemID="{DA60AE55-1547-40F5-8448-06DD7E63DD94}"/>
</file>

<file path=customXml/itemProps3.xml><?xml version="1.0" encoding="utf-8"?>
<ds:datastoreItem xmlns:ds="http://schemas.openxmlformats.org/officeDocument/2006/customXml" ds:itemID="{5191F14A-9A99-4FEF-8C7F-F0EF4D5198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DANIELE DALLATURCA</dc:creator>
  <cp:keywords/>
  <dc:description/>
  <cp:lastModifiedBy/>
  <cp:revision/>
  <dcterms:created xsi:type="dcterms:W3CDTF">2011-11-15T14:37:46Z</dcterms:created>
  <dcterms:modified xsi:type="dcterms:W3CDTF">2024-08-15T11:45:05Z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0x0101000596915CF79F1A4EB18EDA9F6F1531F2</vt:lpwstr>
  </property>
  <property fmtid="{D5CDD505-2E9C-101B-9397-08002B2CF9AE}" pid="3" name="WorkPackage0">
    <vt:lpwstr/>
  </property>
  <property fmtid="{D5CDD505-2E9C-101B-9397-08002B2CF9AE}" pid="4" name="CustomerId">
    <vt:lpwstr>ion</vt:lpwstr>
  </property>
  <property fmtid="{D5CDD505-2E9C-101B-9397-08002B2CF9AE}" pid="5" name="TemplateId">
    <vt:lpwstr>637867460729608178</vt:lpwstr>
  </property>
  <property fmtid="{D5CDD505-2E9C-101B-9397-08002B2CF9AE}" pid="6" name="UserProfileId">
    <vt:lpwstr>637865498268375523</vt:lpwstr>
  </property>
  <property fmtid="{D5CDD505-2E9C-101B-9397-08002B2CF9AE}" pid="7" name="Versione ">
    <vt:lpwstr>30/12/2022</vt:lpwstr>
  </property>
  <property fmtid="{D5CDD505-2E9C-101B-9397-08002B2CF9AE}" pid="8" name="Version">
    <vt:lpwstr>v002</vt:lpwstr>
  </property>
  <property fmtid="{D5CDD505-2E9C-101B-9397-08002B2CF9AE}" pid="9" name="Versione">
    <vt:lpwstr>30/12/2022</vt:lpwstr>
  </property>
  <property fmtid="{D5CDD505-2E9C-101B-9397-08002B2CF9AE}" pid="10" name="MediaServiceImageTags">
    <vt:lpwstr/>
  </property>
</Properties>
</file>